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Learning Material\Interest Rate Models\Nelson Siegel _Svensson\"/>
    </mc:Choice>
  </mc:AlternateContent>
  <bookViews>
    <workbookView xWindow="0" yWindow="0" windowWidth="20490" windowHeight="7755" activeTab="1"/>
  </bookViews>
  <sheets>
    <sheet name="NSS" sheetId="1" r:id="rId1"/>
    <sheet name="OIS Curve_NSS" sheetId="2" r:id="rId2"/>
  </sheets>
  <definedNames>
    <definedName name="solver_adj" localSheetId="0" hidden="1">NSS!$C$6:$C$11</definedName>
    <definedName name="solver_adj" localSheetId="1" hidden="1">'OIS Curve_NSS'!$G$3:$G$8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1" hidden="1">'OIS Curve_NSS'!$G$7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1</definedName>
    <definedName name="solver_nwt" localSheetId="0" hidden="1">1</definedName>
    <definedName name="solver_nwt" localSheetId="1" hidden="1">1</definedName>
    <definedName name="solver_opt" localSheetId="0" hidden="1">NSS!$F$7</definedName>
    <definedName name="solver_opt" localSheetId="1" hidden="1">'OIS Curve_NSS'!$G$9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1" hidden="1">1</definedName>
    <definedName name="solver_rhs1" localSheetId="1" hidden="1">'OIS Curve_NSS'!$G$8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9" i="2" l="1"/>
  <c r="S9" i="2"/>
  <c r="P9" i="2"/>
  <c r="M9" i="2"/>
  <c r="J9" i="2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15" i="2"/>
  <c r="H15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15" i="2"/>
  <c r="C16" i="1"/>
  <c r="G9" i="2" l="1"/>
  <c r="D9" i="2"/>
  <c r="C18" i="1" l="1"/>
  <c r="C19" i="1"/>
  <c r="C20" i="1"/>
  <c r="C21" i="1"/>
  <c r="C22" i="1"/>
  <c r="C23" i="1"/>
  <c r="C24" i="1"/>
  <c r="C25" i="1"/>
  <c r="D24" i="1"/>
  <c r="D22" i="1"/>
  <c r="D20" i="1"/>
  <c r="C17" i="1"/>
  <c r="D17" i="1" s="1"/>
  <c r="D16" i="1"/>
  <c r="F7" i="1" l="1"/>
</calcChain>
</file>

<file path=xl/comments1.xml><?xml version="1.0" encoding="utf-8"?>
<comments xmlns="http://schemas.openxmlformats.org/spreadsheetml/2006/main">
  <authors>
    <author>HP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using OLS</t>
        </r>
      </text>
    </comment>
  </commentList>
</comments>
</file>

<file path=xl/sharedStrings.xml><?xml version="1.0" encoding="utf-8"?>
<sst xmlns="http://schemas.openxmlformats.org/spreadsheetml/2006/main" count="84" uniqueCount="16">
  <si>
    <t>Yield</t>
  </si>
  <si>
    <t>NSS</t>
  </si>
  <si>
    <t>Residual</t>
  </si>
  <si>
    <t>b0</t>
  </si>
  <si>
    <t>b1</t>
  </si>
  <si>
    <t>b2</t>
  </si>
  <si>
    <t>b3</t>
  </si>
  <si>
    <t>λ1</t>
  </si>
  <si>
    <t>λ2</t>
  </si>
  <si>
    <t>T</t>
  </si>
  <si>
    <t xml:space="preserve">Parameters </t>
  </si>
  <si>
    <t>SumSq</t>
  </si>
  <si>
    <t>Term</t>
  </si>
  <si>
    <t>Rate%</t>
  </si>
  <si>
    <t>Term(Years)</t>
  </si>
  <si>
    <t>sumsq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</si>
</sst>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10" fontId="0" fillId="0" borderId="1" xfId="1" applyNumberFormat="1" applyFont="1" applyBorder="1"/>
    <xf numFmtId="0" fontId="0" fillId="0" borderId="5" xfId="0" applyBorder="1"/>
    <xf numFmtId="10" fontId="0" fillId="0" borderId="6" xfId="0" applyNumberFormat="1" applyBorder="1"/>
    <xf numFmtId="0" fontId="0" fillId="0" borderId="7" xfId="0" applyBorder="1"/>
    <xf numFmtId="10" fontId="0" fillId="0" borderId="8" xfId="1" applyNumberFormat="1" applyFont="1" applyBorder="1"/>
    <xf numFmtId="10" fontId="0" fillId="0" borderId="9" xfId="0" applyNumberFormat="1" applyBorder="1"/>
    <xf numFmtId="0" fontId="0" fillId="0" borderId="10" xfId="0" applyBorder="1"/>
    <xf numFmtId="10" fontId="0" fillId="0" borderId="11" xfId="0" applyNumberFormat="1" applyBorder="1"/>
    <xf numFmtId="10" fontId="0" fillId="0" borderId="11" xfId="1" applyNumberFormat="1" applyFont="1" applyBorder="1"/>
    <xf numFmtId="10" fontId="0" fillId="0" borderId="12" xfId="0" applyNumberFormat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3" borderId="2" xfId="0" applyFont="1" applyFill="1" applyBorder="1"/>
    <xf numFmtId="0" fontId="2" fillId="0" borderId="3" xfId="0" applyFont="1" applyBorder="1"/>
    <xf numFmtId="0" fontId="2" fillId="0" borderId="5" xfId="0" applyFont="1" applyBorder="1"/>
    <xf numFmtId="0" fontId="0" fillId="0" borderId="6" xfId="0" applyBorder="1"/>
    <xf numFmtId="3" fontId="0" fillId="0" borderId="5" xfId="0" applyNumberFormat="1" applyBorder="1"/>
    <xf numFmtId="3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2" fillId="0" borderId="7" xfId="0" applyFont="1" applyBorder="1"/>
    <xf numFmtId="0" fontId="2" fillId="3" borderId="13" xfId="0" applyFont="1" applyFill="1" applyBorder="1"/>
    <xf numFmtId="0" fontId="2" fillId="3" borderId="16" xfId="0" applyFont="1" applyFill="1" applyBorder="1"/>
    <xf numFmtId="170" fontId="0" fillId="0" borderId="18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4" fontId="2" fillId="3" borderId="19" xfId="0" applyNumberFormat="1" applyFont="1" applyFill="1" applyBorder="1"/>
    <xf numFmtId="14" fontId="2" fillId="3" borderId="23" xfId="0" applyNumberFormat="1" applyFont="1" applyFill="1" applyBorder="1"/>
    <xf numFmtId="14" fontId="2" fillId="3" borderId="16" xfId="0" applyNumberFormat="1" applyFont="1" applyFill="1" applyBorder="1"/>
    <xf numFmtId="14" fontId="2" fillId="3" borderId="24" xfId="0" applyNumberFormat="1" applyFont="1" applyFill="1" applyBorder="1"/>
    <xf numFmtId="14" fontId="2" fillId="3" borderId="25" xfId="0" applyNumberFormat="1" applyFont="1" applyFill="1" applyBorder="1"/>
    <xf numFmtId="0" fontId="2" fillId="3" borderId="14" xfId="0" applyFont="1" applyFill="1" applyBorder="1"/>
    <xf numFmtId="170" fontId="0" fillId="0" borderId="17" xfId="0" applyNumberFormat="1" applyBorder="1"/>
    <xf numFmtId="0" fontId="2" fillId="3" borderId="15" xfId="0" applyFont="1" applyFill="1" applyBorder="1"/>
    <xf numFmtId="0" fontId="2" fillId="0" borderId="26" xfId="0" applyFont="1" applyFill="1" applyBorder="1"/>
    <xf numFmtId="0" fontId="0" fillId="0" borderId="27" xfId="0" applyBorder="1"/>
    <xf numFmtId="0" fontId="0" fillId="0" borderId="4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NSS!$B$15</c:f>
              <c:strCache>
                <c:ptCount val="1"/>
                <c:pt idx="0">
                  <c:v>Yield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NSS!$A$16:$A$25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10</c:v>
                </c:pt>
                <c:pt idx="7">
                  <c:v>15</c:v>
                </c:pt>
                <c:pt idx="8">
                  <c:v>25</c:v>
                </c:pt>
                <c:pt idx="9">
                  <c:v>30</c:v>
                </c:pt>
              </c:numCache>
            </c:numRef>
          </c:xVal>
          <c:yVal>
            <c:numRef>
              <c:f>NSS!$B$16:$B$25</c:f>
              <c:numCache>
                <c:formatCode>0.00%</c:formatCode>
                <c:ptCount val="10"/>
                <c:pt idx="0">
                  <c:v>3.8999999999999998E-3</c:v>
                </c:pt>
                <c:pt idx="1">
                  <c:v>6.1000000000000004E-3</c:v>
                </c:pt>
                <c:pt idx="4">
                  <c:v>1.66E-2</c:v>
                </c:pt>
                <c:pt idx="6">
                  <c:v>2.58E-2</c:v>
                </c:pt>
                <c:pt idx="8">
                  <c:v>3.32E-2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NSS!$C$15</c:f>
              <c:strCache>
                <c:ptCount val="1"/>
                <c:pt idx="0">
                  <c:v>NSS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NSS!$A$16:$A$25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10</c:v>
                </c:pt>
                <c:pt idx="7">
                  <c:v>15</c:v>
                </c:pt>
                <c:pt idx="8">
                  <c:v>25</c:v>
                </c:pt>
                <c:pt idx="9">
                  <c:v>30</c:v>
                </c:pt>
              </c:numCache>
            </c:numRef>
          </c:xVal>
          <c:yVal>
            <c:numRef>
              <c:f>NSS!$C$16:$C$25</c:f>
              <c:numCache>
                <c:formatCode>0.00%</c:formatCode>
                <c:ptCount val="10"/>
                <c:pt idx="0">
                  <c:v>3.7536709032402549E-3</c:v>
                </c:pt>
                <c:pt idx="1">
                  <c:v>6.3287877315048938E-3</c:v>
                </c:pt>
                <c:pt idx="2">
                  <c:v>9.9489886176755069E-3</c:v>
                </c:pt>
                <c:pt idx="3">
                  <c:v>1.3446602980257235E-2</c:v>
                </c:pt>
                <c:pt idx="4">
                  <c:v>1.6498464847980343E-2</c:v>
                </c:pt>
                <c:pt idx="5">
                  <c:v>2.3002364212880357E-2</c:v>
                </c:pt>
                <c:pt idx="6">
                  <c:v>2.5761912965234966E-2</c:v>
                </c:pt>
                <c:pt idx="7">
                  <c:v>2.9829085568342011E-2</c:v>
                </c:pt>
                <c:pt idx="8">
                  <c:v>3.3246216739551762E-2</c:v>
                </c:pt>
                <c:pt idx="9">
                  <c:v>3.4105357692003527E-2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563008"/>
        <c:axId val="748562616"/>
      </c:scatterChart>
      <c:valAx>
        <c:axId val="74856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62616"/>
        <c:crosses val="autoZero"/>
        <c:crossBetween val="midCat"/>
      </c:valAx>
      <c:valAx>
        <c:axId val="74856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63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09/22/2011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'OIS Curve_NSS'!$C$14</c:f>
              <c:strCache>
                <c:ptCount val="1"/>
                <c:pt idx="0">
                  <c:v>Rate%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'OIS Curve_NSS'!$B$15:$B$59</c:f>
              <c:numCache>
                <c:formatCode>0.000</c:formatCode>
                <c:ptCount val="45"/>
                <c:pt idx="0">
                  <c:v>8.2191780821917804E-2</c:v>
                </c:pt>
                <c:pt idx="1">
                  <c:v>0.16438356164383561</c:v>
                </c:pt>
                <c:pt idx="2">
                  <c:v>0.24657534246575341</c:v>
                </c:pt>
                <c:pt idx="3">
                  <c:v>0.49315068493150682</c:v>
                </c:pt>
                <c:pt idx="4">
                  <c:v>0.73972602739726023</c:v>
                </c:pt>
                <c:pt idx="5">
                  <c:v>1</c:v>
                </c:pt>
                <c:pt idx="6">
                  <c:v>1.2465753424657535</c:v>
                </c:pt>
                <c:pt idx="7">
                  <c:v>1.4931506849315068</c:v>
                </c:pt>
                <c:pt idx="8">
                  <c:v>1.7397260273972603</c:v>
                </c:pt>
                <c:pt idx="9">
                  <c:v>2</c:v>
                </c:pt>
                <c:pt idx="10">
                  <c:v>2.2465753424657535</c:v>
                </c:pt>
                <c:pt idx="11">
                  <c:v>2.493150684931507</c:v>
                </c:pt>
                <c:pt idx="12">
                  <c:v>2.7397260273972601</c:v>
                </c:pt>
                <c:pt idx="13">
                  <c:v>3</c:v>
                </c:pt>
                <c:pt idx="14">
                  <c:v>3.2465753424657535</c:v>
                </c:pt>
                <c:pt idx="15">
                  <c:v>3.493150684931507</c:v>
                </c:pt>
                <c:pt idx="16">
                  <c:v>3.7397260273972601</c:v>
                </c:pt>
                <c:pt idx="17">
                  <c:v>4</c:v>
                </c:pt>
                <c:pt idx="18">
                  <c:v>4.2465753424657535</c:v>
                </c:pt>
                <c:pt idx="19">
                  <c:v>4.493150684931507</c:v>
                </c:pt>
                <c:pt idx="20">
                  <c:v>4.7397260273972606</c:v>
                </c:pt>
                <c:pt idx="21">
                  <c:v>5</c:v>
                </c:pt>
                <c:pt idx="22">
                  <c:v>5.2465753424657535</c:v>
                </c:pt>
                <c:pt idx="23">
                  <c:v>5.493150684931507</c:v>
                </c:pt>
                <c:pt idx="24">
                  <c:v>5.7397260273972606</c:v>
                </c:pt>
                <c:pt idx="25">
                  <c:v>6</c:v>
                </c:pt>
                <c:pt idx="26">
                  <c:v>6.2465753424657535</c:v>
                </c:pt>
                <c:pt idx="27">
                  <c:v>6.493150684931507</c:v>
                </c:pt>
                <c:pt idx="28">
                  <c:v>6.7397260273972606</c:v>
                </c:pt>
                <c:pt idx="29">
                  <c:v>7</c:v>
                </c:pt>
                <c:pt idx="30">
                  <c:v>7.2465753424657535</c:v>
                </c:pt>
                <c:pt idx="31">
                  <c:v>7.493150684931507</c:v>
                </c:pt>
                <c:pt idx="32">
                  <c:v>7.7397260273972606</c:v>
                </c:pt>
                <c:pt idx="33">
                  <c:v>8</c:v>
                </c:pt>
                <c:pt idx="34">
                  <c:v>8.493150684931507</c:v>
                </c:pt>
                <c:pt idx="35">
                  <c:v>9</c:v>
                </c:pt>
                <c:pt idx="36">
                  <c:v>9.493150684931507</c:v>
                </c:pt>
                <c:pt idx="37">
                  <c:v>10</c:v>
                </c:pt>
                <c:pt idx="38">
                  <c:v>12</c:v>
                </c:pt>
                <c:pt idx="39">
                  <c:v>15</c:v>
                </c:pt>
                <c:pt idx="40">
                  <c:v>20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50</c:v>
                </c:pt>
              </c:numCache>
            </c:numRef>
          </c:xVal>
          <c:yVal>
            <c:numRef>
              <c:f>'OIS Curve_NSS'!$C$15:$C$59</c:f>
              <c:numCache>
                <c:formatCode>General</c:formatCode>
                <c:ptCount val="45"/>
                <c:pt idx="0">
                  <c:v>0.92310000000000003</c:v>
                </c:pt>
                <c:pt idx="1">
                  <c:v>0.77200000000000002</c:v>
                </c:pt>
                <c:pt idx="2">
                  <c:v>0.71050000000000002</c:v>
                </c:pt>
                <c:pt idx="3">
                  <c:v>0.59950000000000003</c:v>
                </c:pt>
                <c:pt idx="4">
                  <c:v>0.57099999999999995</c:v>
                </c:pt>
                <c:pt idx="5">
                  <c:v>0.56850000000000001</c:v>
                </c:pt>
                <c:pt idx="6">
                  <c:v>0.57430000000000003</c:v>
                </c:pt>
                <c:pt idx="7">
                  <c:v>0.58789999999999998</c:v>
                </c:pt>
                <c:pt idx="8">
                  <c:v>0.61270000000000002</c:v>
                </c:pt>
                <c:pt idx="9">
                  <c:v>0.64459999999999995</c:v>
                </c:pt>
                <c:pt idx="10">
                  <c:v>0.68400000000000005</c:v>
                </c:pt>
                <c:pt idx="11">
                  <c:v>0.72770000000000001</c:v>
                </c:pt>
                <c:pt idx="12">
                  <c:v>0.77859999999999996</c:v>
                </c:pt>
                <c:pt idx="13">
                  <c:v>0.83409999999999995</c:v>
                </c:pt>
                <c:pt idx="14">
                  <c:v>0.89439999999999997</c:v>
                </c:pt>
                <c:pt idx="15">
                  <c:v>0.95189999999999997</c:v>
                </c:pt>
                <c:pt idx="16">
                  <c:v>1.0138</c:v>
                </c:pt>
                <c:pt idx="17">
                  <c:v>1.0765</c:v>
                </c:pt>
                <c:pt idx="18">
                  <c:v>1.1357999999999999</c:v>
                </c:pt>
                <c:pt idx="19">
                  <c:v>1.1947000000000001</c:v>
                </c:pt>
                <c:pt idx="20">
                  <c:v>1.2504999999999999</c:v>
                </c:pt>
                <c:pt idx="21">
                  <c:v>1.3051999999999999</c:v>
                </c:pt>
                <c:pt idx="22">
                  <c:v>1.3586</c:v>
                </c:pt>
                <c:pt idx="23">
                  <c:v>1.4085000000000001</c:v>
                </c:pt>
                <c:pt idx="24">
                  <c:v>1.4574</c:v>
                </c:pt>
                <c:pt idx="25">
                  <c:v>1.5044999999999999</c:v>
                </c:pt>
                <c:pt idx="26">
                  <c:v>1.5488999999999999</c:v>
                </c:pt>
                <c:pt idx="27">
                  <c:v>1.5891999999999999</c:v>
                </c:pt>
                <c:pt idx="28">
                  <c:v>1.6294</c:v>
                </c:pt>
                <c:pt idx="29">
                  <c:v>1.6676</c:v>
                </c:pt>
                <c:pt idx="30">
                  <c:v>1.7037</c:v>
                </c:pt>
                <c:pt idx="31">
                  <c:v>1.7366999999999999</c:v>
                </c:pt>
                <c:pt idx="32">
                  <c:v>1.7697000000000001</c:v>
                </c:pt>
                <c:pt idx="33">
                  <c:v>1.8010999999999999</c:v>
                </c:pt>
                <c:pt idx="34">
                  <c:v>1.8591</c:v>
                </c:pt>
                <c:pt idx="35">
                  <c:v>1.9142999999999999</c:v>
                </c:pt>
                <c:pt idx="36">
                  <c:v>1.9645999999999999</c:v>
                </c:pt>
                <c:pt idx="37">
                  <c:v>2.0152999999999999</c:v>
                </c:pt>
                <c:pt idx="38">
                  <c:v>2.1991999999999998</c:v>
                </c:pt>
                <c:pt idx="39">
                  <c:v>2.3927</c:v>
                </c:pt>
                <c:pt idx="40">
                  <c:v>2.4628000000000001</c:v>
                </c:pt>
                <c:pt idx="41">
                  <c:v>2.4241000000000001</c:v>
                </c:pt>
                <c:pt idx="42">
                  <c:v>2.3637000000000001</c:v>
                </c:pt>
                <c:pt idx="43">
                  <c:v>2.3513999999999999</c:v>
                </c:pt>
                <c:pt idx="44">
                  <c:v>2.4091999999999998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'OIS Curve_NSS'!$D$14</c:f>
              <c:strCache>
                <c:ptCount val="1"/>
                <c:pt idx="0">
                  <c:v>NSS</c:v>
                </c:pt>
              </c:strCache>
            </c:strRef>
          </c:tx>
          <c:spPr>
            <a:ln w="952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'OIS Curve_NSS'!$B$15:$B$59</c:f>
              <c:numCache>
                <c:formatCode>0.000</c:formatCode>
                <c:ptCount val="45"/>
                <c:pt idx="0">
                  <c:v>8.2191780821917804E-2</c:v>
                </c:pt>
                <c:pt idx="1">
                  <c:v>0.16438356164383561</c:v>
                </c:pt>
                <c:pt idx="2">
                  <c:v>0.24657534246575341</c:v>
                </c:pt>
                <c:pt idx="3">
                  <c:v>0.49315068493150682</c:v>
                </c:pt>
                <c:pt idx="4">
                  <c:v>0.73972602739726023</c:v>
                </c:pt>
                <c:pt idx="5">
                  <c:v>1</c:v>
                </c:pt>
                <c:pt idx="6">
                  <c:v>1.2465753424657535</c:v>
                </c:pt>
                <c:pt idx="7">
                  <c:v>1.4931506849315068</c:v>
                </c:pt>
                <c:pt idx="8">
                  <c:v>1.7397260273972603</c:v>
                </c:pt>
                <c:pt idx="9">
                  <c:v>2</c:v>
                </c:pt>
                <c:pt idx="10">
                  <c:v>2.2465753424657535</c:v>
                </c:pt>
                <c:pt idx="11">
                  <c:v>2.493150684931507</c:v>
                </c:pt>
                <c:pt idx="12">
                  <c:v>2.7397260273972601</c:v>
                </c:pt>
                <c:pt idx="13">
                  <c:v>3</c:v>
                </c:pt>
                <c:pt idx="14">
                  <c:v>3.2465753424657535</c:v>
                </c:pt>
                <c:pt idx="15">
                  <c:v>3.493150684931507</c:v>
                </c:pt>
                <c:pt idx="16">
                  <c:v>3.7397260273972601</c:v>
                </c:pt>
                <c:pt idx="17">
                  <c:v>4</c:v>
                </c:pt>
                <c:pt idx="18">
                  <c:v>4.2465753424657535</c:v>
                </c:pt>
                <c:pt idx="19">
                  <c:v>4.493150684931507</c:v>
                </c:pt>
                <c:pt idx="20">
                  <c:v>4.7397260273972606</c:v>
                </c:pt>
                <c:pt idx="21">
                  <c:v>5</c:v>
                </c:pt>
                <c:pt idx="22">
                  <c:v>5.2465753424657535</c:v>
                </c:pt>
                <c:pt idx="23">
                  <c:v>5.493150684931507</c:v>
                </c:pt>
                <c:pt idx="24">
                  <c:v>5.7397260273972606</c:v>
                </c:pt>
                <c:pt idx="25">
                  <c:v>6</c:v>
                </c:pt>
                <c:pt idx="26">
                  <c:v>6.2465753424657535</c:v>
                </c:pt>
                <c:pt idx="27">
                  <c:v>6.493150684931507</c:v>
                </c:pt>
                <c:pt idx="28">
                  <c:v>6.7397260273972606</c:v>
                </c:pt>
                <c:pt idx="29">
                  <c:v>7</c:v>
                </c:pt>
                <c:pt idx="30">
                  <c:v>7.2465753424657535</c:v>
                </c:pt>
                <c:pt idx="31">
                  <c:v>7.493150684931507</c:v>
                </c:pt>
                <c:pt idx="32">
                  <c:v>7.7397260273972606</c:v>
                </c:pt>
                <c:pt idx="33">
                  <c:v>8</c:v>
                </c:pt>
                <c:pt idx="34">
                  <c:v>8.493150684931507</c:v>
                </c:pt>
                <c:pt idx="35">
                  <c:v>9</c:v>
                </c:pt>
                <c:pt idx="36">
                  <c:v>9.493150684931507</c:v>
                </c:pt>
                <c:pt idx="37">
                  <c:v>10</c:v>
                </c:pt>
                <c:pt idx="38">
                  <c:v>12</c:v>
                </c:pt>
                <c:pt idx="39">
                  <c:v>15</c:v>
                </c:pt>
                <c:pt idx="40">
                  <c:v>20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50</c:v>
                </c:pt>
              </c:numCache>
            </c:numRef>
          </c:xVal>
          <c:yVal>
            <c:numRef>
              <c:f>'OIS Curve_NSS'!$D$15:$D$59</c:f>
              <c:numCache>
                <c:formatCode>General</c:formatCode>
                <c:ptCount val="45"/>
                <c:pt idx="0">
                  <c:v>1.07751286206615</c:v>
                </c:pt>
                <c:pt idx="1">
                  <c:v>0.64215445869503218</c:v>
                </c:pt>
                <c:pt idx="2">
                  <c:v>0.51344863931455864</c:v>
                </c:pt>
                <c:pt idx="3">
                  <c:v>0.4328799486434281</c:v>
                </c:pt>
                <c:pt idx="4">
                  <c:v>0.4526481239682657</c:v>
                </c:pt>
                <c:pt idx="5">
                  <c:v>0.49880795651441828</c:v>
                </c:pt>
                <c:pt idx="6">
                  <c:v>0.5508799799089511</c:v>
                </c:pt>
                <c:pt idx="7">
                  <c:v>0.60607843202284761</c:v>
                </c:pt>
                <c:pt idx="8">
                  <c:v>0.66234469957678144</c:v>
                </c:pt>
                <c:pt idx="9">
                  <c:v>0.72178078953844649</c:v>
                </c:pt>
                <c:pt idx="10">
                  <c:v>0.77756308838576693</c:v>
                </c:pt>
                <c:pt idx="11">
                  <c:v>0.83251943167541276</c:v>
                </c:pt>
                <c:pt idx="12">
                  <c:v>0.88646750652853323</c:v>
                </c:pt>
                <c:pt idx="13">
                  <c:v>0.94219808646748426</c:v>
                </c:pt>
                <c:pt idx="14">
                  <c:v>0.99377713457516614</c:v>
                </c:pt>
                <c:pt idx="15">
                  <c:v>1.0441338876637105</c:v>
                </c:pt>
                <c:pt idx="16">
                  <c:v>1.0932508182883958</c:v>
                </c:pt>
                <c:pt idx="17">
                  <c:v>1.1437459113902864</c:v>
                </c:pt>
                <c:pt idx="18">
                  <c:v>1.1903077280750554</c:v>
                </c:pt>
                <c:pt idx="19">
                  <c:v>1.2356382617009605</c:v>
                </c:pt>
                <c:pt idx="20">
                  <c:v>1.2797514730461594</c:v>
                </c:pt>
                <c:pt idx="21">
                  <c:v>1.3250135254922133</c:v>
                </c:pt>
                <c:pt idx="22">
                  <c:v>1.3666799889496861</c:v>
                </c:pt>
                <c:pt idx="23">
                  <c:v>1.4071868518969117</c:v>
                </c:pt>
                <c:pt idx="24">
                  <c:v>1.4465557460198093</c:v>
                </c:pt>
                <c:pt idx="25">
                  <c:v>1.4869019022986336</c:v>
                </c:pt>
                <c:pt idx="26">
                  <c:v>1.5240021608521295</c:v>
                </c:pt>
                <c:pt idx="27">
                  <c:v>1.5600337329825702</c:v>
                </c:pt>
                <c:pt idx="28">
                  <c:v>1.5950196667955314</c:v>
                </c:pt>
                <c:pt idx="29">
                  <c:v>1.6308403027669123</c:v>
                </c:pt>
                <c:pt idx="30">
                  <c:v>1.6637490072582695</c:v>
                </c:pt>
                <c:pt idx="31">
                  <c:v>1.6956819404271342</c:v>
                </c:pt>
                <c:pt idx="32">
                  <c:v>1.7266615543528867</c:v>
                </c:pt>
                <c:pt idx="33">
                  <c:v>1.7583525180322583</c:v>
                </c:pt>
                <c:pt idx="34">
                  <c:v>1.8156445348171908</c:v>
                </c:pt>
                <c:pt idx="35">
                  <c:v>1.8709219625357918</c:v>
                </c:pt>
                <c:pt idx="36">
                  <c:v>1.9213653921358029</c:v>
                </c:pt>
                <c:pt idx="37">
                  <c:v>1.9699455486234712</c:v>
                </c:pt>
                <c:pt idx="38">
                  <c:v>2.1324354893448869</c:v>
                </c:pt>
                <c:pt idx="39">
                  <c:v>2.3037068902318198</c:v>
                </c:pt>
                <c:pt idx="40">
                  <c:v>2.4530992892147054</c:v>
                </c:pt>
                <c:pt idx="41">
                  <c:v>2.4980217387881924</c:v>
                </c:pt>
                <c:pt idx="42">
                  <c:v>2.4874207054669331</c:v>
                </c:pt>
                <c:pt idx="43">
                  <c:v>2.4050067119381611</c:v>
                </c:pt>
                <c:pt idx="44">
                  <c:v>2.32098253144318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769776"/>
        <c:axId val="748768600"/>
      </c:scatterChart>
      <c:valAx>
        <c:axId val="74876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Term(Years)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68600"/>
        <c:crosses val="autoZero"/>
        <c:crossBetween val="midCat"/>
      </c:valAx>
      <c:valAx>
        <c:axId val="74876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OIS 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69776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523875</xdr:colOff>
      <xdr:row>1</xdr:row>
      <xdr:rowOff>9525</xdr:rowOff>
    </xdr:from>
    <xdr:to>
      <xdr:col>14</xdr:col>
      <xdr:colOff>524386</xdr:colOff>
      <xdr:row>9</xdr:row>
      <xdr:rowOff>76425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0675" y="200025"/>
          <a:ext cx="3658111" cy="160995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6</xdr:col>
      <xdr:colOff>219075</xdr:colOff>
      <xdr:row>11</xdr:row>
      <xdr:rowOff>138112</xdr:rowOff>
    </xdr:from>
    <xdr:to>
      <xdr:col>13</xdr:col>
      <xdr:colOff>523875</xdr:colOff>
      <xdr:row>26</xdr:row>
      <xdr:rowOff>23812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14</xdr:row>
      <xdr:rowOff>171449</xdr:rowOff>
    </xdr:from>
    <xdr:to>
      <xdr:col>3</xdr:col>
      <xdr:colOff>552450</xdr:colOff>
      <xdr:row>23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25"/>
  <sheetViews>
    <sheetView showGridLines="0" workbookViewId="0">
      <selection activeCell="B11" sqref="B6:B11"/>
    </sheetView>
  </sheetViews>
  <sheetFormatPr defaultRowHeight="15" x14ac:dyDescent="0.25"/>
  <sheetData>
    <row r="2" spans="1:6" x14ac:dyDescent="0.25">
      <c r="B2" s="1" t="s">
        <v>10</v>
      </c>
    </row>
    <row r="6" spans="1:6" ht="15.75" thickBot="1" x14ac:dyDescent="0.3">
      <c r="B6" t="s">
        <v>3</v>
      </c>
      <c r="C6">
        <v>3.8401747336302659E-2</v>
      </c>
    </row>
    <row r="7" spans="1:6" ht="15.75" thickBot="1" x14ac:dyDescent="0.3">
      <c r="B7" t="s">
        <v>4</v>
      </c>
      <c r="C7">
        <v>-3.2656900498369855E-2</v>
      </c>
      <c r="E7" s="17" t="s">
        <v>11</v>
      </c>
      <c r="F7" s="17">
        <f>SUMSQ(D16:D25)</f>
        <v>8.7652026973321124E-8</v>
      </c>
    </row>
    <row r="8" spans="1:6" x14ac:dyDescent="0.25">
      <c r="B8" t="s">
        <v>5</v>
      </c>
      <c r="C8">
        <v>-1.8149964549553772E-2</v>
      </c>
    </row>
    <row r="9" spans="1:6" x14ac:dyDescent="0.25">
      <c r="B9" t="s">
        <v>6</v>
      </c>
      <c r="C9">
        <v>-2.1161064208418581E-2</v>
      </c>
    </row>
    <row r="10" spans="1:6" x14ac:dyDescent="0.25">
      <c r="B10" t="s">
        <v>7</v>
      </c>
      <c r="C10">
        <v>2.1022882706069548</v>
      </c>
    </row>
    <row r="11" spans="1:6" x14ac:dyDescent="0.25">
      <c r="B11" t="s">
        <v>8</v>
      </c>
      <c r="C11">
        <v>1.0434931825791189</v>
      </c>
    </row>
    <row r="14" spans="1:6" ht="15.75" thickBot="1" x14ac:dyDescent="0.3"/>
    <row r="15" spans="1:6" ht="15.75" thickBot="1" x14ac:dyDescent="0.3">
      <c r="A15" s="14" t="s">
        <v>9</v>
      </c>
      <c r="B15" s="15" t="s">
        <v>0</v>
      </c>
      <c r="C15" s="15" t="s">
        <v>1</v>
      </c>
      <c r="D15" s="16" t="s">
        <v>2</v>
      </c>
    </row>
    <row r="16" spans="1:6" x14ac:dyDescent="0.25">
      <c r="A16" s="10">
        <v>1</v>
      </c>
      <c r="B16" s="11">
        <v>3.8999999999999998E-3</v>
      </c>
      <c r="C16" s="12">
        <f>$C$6+$C$7*((1-EXP(-A16/$C$10))/(A16/$C$10))+$C$8*(((1-EXP(-A16/$C$10))/(A16/$C$10))-EXP(-A16/$C$10))+$C$9*(((1-EXP(-A16/$C$11))/(A16/$C$11))-EXP(-A16/$C$11))</f>
        <v>3.7536709032402549E-3</v>
      </c>
      <c r="D16" s="13">
        <f>B16-C16</f>
        <v>1.4632909675974491E-4</v>
      </c>
    </row>
    <row r="17" spans="1:4" x14ac:dyDescent="0.25">
      <c r="A17" s="5">
        <v>2</v>
      </c>
      <c r="B17" s="4">
        <v>6.1000000000000004E-3</v>
      </c>
      <c r="C17" s="4">
        <f>$C$6+$C$7*((1-EXP(-A17/$C$10))/(A17/$C$10))+$C$8*(((1-EXP(-A17/$C$10))/(A17/$C$10))-EXP(-A17/$C$10))+$C$9*(((1-EXP(-A17/$C$11))/(A17/$C$11))-EXP(-A17/$C$11))</f>
        <v>6.3287877315048938E-3</v>
      </c>
      <c r="D17" s="6">
        <f t="shared" ref="D17:D25" si="0">B17-C17</f>
        <v>-2.2878773150489338E-4</v>
      </c>
    </row>
    <row r="18" spans="1:4" x14ac:dyDescent="0.25">
      <c r="A18" s="5">
        <v>3</v>
      </c>
      <c r="B18" s="4"/>
      <c r="C18" s="4">
        <f t="shared" ref="C18:C25" si="1">$C$6+$C$7*((1-EXP(-A18/$C$10))/(A18/$C$10))+$C$8*(((1-EXP(-A18/$C$10))/(A18/$C$10))-EXP(-A18/$C$10))+$C$9*(((1-EXP(-A18/$C$11))/(A18/$C$11))-EXP(-A18/$C$11))</f>
        <v>9.9489886176755069E-3</v>
      </c>
      <c r="D18" s="6"/>
    </row>
    <row r="19" spans="1:4" x14ac:dyDescent="0.25">
      <c r="A19" s="5">
        <v>4</v>
      </c>
      <c r="B19" s="4"/>
      <c r="C19" s="4">
        <f t="shared" si="1"/>
        <v>1.3446602980257235E-2</v>
      </c>
      <c r="D19" s="6"/>
    </row>
    <row r="20" spans="1:4" x14ac:dyDescent="0.25">
      <c r="A20" s="5">
        <v>5</v>
      </c>
      <c r="B20" s="4">
        <v>1.66E-2</v>
      </c>
      <c r="C20" s="4">
        <f t="shared" si="1"/>
        <v>1.6498464847980343E-2</v>
      </c>
      <c r="D20" s="6">
        <f t="shared" si="0"/>
        <v>1.015351520196571E-4</v>
      </c>
    </row>
    <row r="21" spans="1:4" x14ac:dyDescent="0.25">
      <c r="A21" s="5">
        <v>8</v>
      </c>
      <c r="B21" s="4"/>
      <c r="C21" s="4">
        <f t="shared" si="1"/>
        <v>2.3002364212880357E-2</v>
      </c>
      <c r="D21" s="6"/>
    </row>
    <row r="22" spans="1:4" x14ac:dyDescent="0.25">
      <c r="A22" s="5">
        <v>10</v>
      </c>
      <c r="B22" s="4">
        <v>2.58E-2</v>
      </c>
      <c r="C22" s="4">
        <f t="shared" si="1"/>
        <v>2.5761912965234966E-2</v>
      </c>
      <c r="D22" s="6">
        <f t="shared" si="0"/>
        <v>3.808703476503375E-5</v>
      </c>
    </row>
    <row r="23" spans="1:4" x14ac:dyDescent="0.25">
      <c r="A23" s="5">
        <v>15</v>
      </c>
      <c r="B23" s="4"/>
      <c r="C23" s="4">
        <f t="shared" si="1"/>
        <v>2.9829085568342011E-2</v>
      </c>
      <c r="D23" s="6"/>
    </row>
    <row r="24" spans="1:4" x14ac:dyDescent="0.25">
      <c r="A24" s="5">
        <v>25</v>
      </c>
      <c r="B24" s="4">
        <v>3.32E-2</v>
      </c>
      <c r="C24" s="4">
        <f t="shared" si="1"/>
        <v>3.3246216739551762E-2</v>
      </c>
      <c r="D24" s="6">
        <f t="shared" si="0"/>
        <v>-4.621673955176181E-5</v>
      </c>
    </row>
    <row r="25" spans="1:4" ht="15.75" thickBot="1" x14ac:dyDescent="0.3">
      <c r="A25" s="7">
        <v>30</v>
      </c>
      <c r="B25" s="8"/>
      <c r="C25" s="8">
        <f t="shared" si="1"/>
        <v>3.4105357692003527E-2</v>
      </c>
      <c r="D25" s="9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59"/>
  <sheetViews>
    <sheetView showGridLines="0" tabSelected="1" workbookViewId="0">
      <selection activeCell="F11" sqref="F11"/>
    </sheetView>
  </sheetViews>
  <sheetFormatPr defaultRowHeight="15" x14ac:dyDescent="0.25"/>
  <cols>
    <col min="2" max="2" width="11.85546875" bestFit="1" customWidth="1"/>
    <col min="3" max="3" width="9.7109375" bestFit="1" customWidth="1"/>
    <col min="4" max="5" width="9.7109375" customWidth="1"/>
    <col min="6" max="6" width="9.7109375" bestFit="1" customWidth="1"/>
    <col min="7" max="8" width="9.7109375" customWidth="1"/>
    <col min="9" max="9" width="9.7109375" bestFit="1" customWidth="1"/>
    <col min="10" max="11" width="9.7109375" customWidth="1"/>
    <col min="12" max="12" width="9.7109375" bestFit="1" customWidth="1"/>
    <col min="13" max="14" width="9.7109375" customWidth="1"/>
    <col min="15" max="15" width="9.7109375" bestFit="1" customWidth="1"/>
    <col min="16" max="17" width="9.7109375" customWidth="1"/>
    <col min="18" max="18" width="9.7109375" bestFit="1" customWidth="1"/>
    <col min="19" max="20" width="9.7109375" customWidth="1"/>
    <col min="21" max="21" width="9.7109375" bestFit="1" customWidth="1"/>
  </cols>
  <sheetData>
    <row r="2" spans="1:23" ht="15.75" thickBot="1" x14ac:dyDescent="0.3"/>
    <row r="3" spans="1:23" x14ac:dyDescent="0.25">
      <c r="C3" s="18" t="s">
        <v>3</v>
      </c>
      <c r="D3" s="44">
        <v>0.13823035405689718</v>
      </c>
      <c r="F3" s="18" t="s">
        <v>3</v>
      </c>
      <c r="G3" s="44">
        <v>8.114380834592845E-2</v>
      </c>
      <c r="I3" s="2" t="s">
        <v>3</v>
      </c>
      <c r="J3" s="3">
        <v>1E-3</v>
      </c>
      <c r="L3" s="2" t="s">
        <v>3</v>
      </c>
      <c r="M3" s="3">
        <v>1E-3</v>
      </c>
      <c r="O3" s="2" t="s">
        <v>3</v>
      </c>
      <c r="P3" s="3">
        <v>1E-3</v>
      </c>
      <c r="R3" s="2" t="s">
        <v>3</v>
      </c>
      <c r="S3" s="3">
        <v>1E-3</v>
      </c>
      <c r="U3" s="2" t="s">
        <v>3</v>
      </c>
      <c r="V3" s="3">
        <v>1E-3</v>
      </c>
    </row>
    <row r="4" spans="1:23" x14ac:dyDescent="0.25">
      <c r="C4" s="19" t="s">
        <v>4</v>
      </c>
      <c r="D4" s="20">
        <v>6.5312821547292661E-3</v>
      </c>
      <c r="F4" s="19" t="s">
        <v>4</v>
      </c>
      <c r="G4" s="20">
        <v>-2.061257558384237E-5</v>
      </c>
      <c r="I4" s="2" t="s">
        <v>4</v>
      </c>
      <c r="J4" s="3">
        <v>1E-3</v>
      </c>
      <c r="L4" s="2" t="s">
        <v>4</v>
      </c>
      <c r="M4" s="3">
        <v>1E-3</v>
      </c>
      <c r="O4" s="2" t="s">
        <v>4</v>
      </c>
      <c r="P4" s="3">
        <v>1E-3</v>
      </c>
      <c r="R4" s="2" t="s">
        <v>4</v>
      </c>
      <c r="S4" s="3">
        <v>1E-3</v>
      </c>
      <c r="U4" s="2" t="s">
        <v>4</v>
      </c>
      <c r="V4" s="3">
        <v>1E-3</v>
      </c>
    </row>
    <row r="5" spans="1:23" x14ac:dyDescent="0.25">
      <c r="C5" s="19" t="s">
        <v>5</v>
      </c>
      <c r="D5" s="20">
        <v>6.7892805652548098</v>
      </c>
      <c r="F5" s="19" t="s">
        <v>5</v>
      </c>
      <c r="G5" s="20">
        <v>-118.6123292814795</v>
      </c>
      <c r="I5" s="2" t="s">
        <v>5</v>
      </c>
      <c r="J5" s="3">
        <v>1E-3</v>
      </c>
      <c r="L5" s="2" t="s">
        <v>5</v>
      </c>
      <c r="M5" s="3">
        <v>1E-3</v>
      </c>
      <c r="O5" s="2" t="s">
        <v>5</v>
      </c>
      <c r="P5" s="3">
        <v>1E-3</v>
      </c>
      <c r="R5" s="2" t="s">
        <v>5</v>
      </c>
      <c r="S5" s="3">
        <v>1E-3</v>
      </c>
      <c r="U5" s="2" t="s">
        <v>5</v>
      </c>
      <c r="V5" s="3">
        <v>1E-3</v>
      </c>
    </row>
    <row r="6" spans="1:23" x14ac:dyDescent="0.25">
      <c r="C6" s="19" t="s">
        <v>6</v>
      </c>
      <c r="D6" s="20">
        <v>224.37345495073393</v>
      </c>
      <c r="F6" s="19" t="s">
        <v>6</v>
      </c>
      <c r="G6" s="20">
        <v>6.9778304423651569</v>
      </c>
      <c r="I6" s="2" t="s">
        <v>6</v>
      </c>
      <c r="J6" s="3">
        <v>1E-3</v>
      </c>
      <c r="L6" s="2" t="s">
        <v>6</v>
      </c>
      <c r="M6" s="3">
        <v>1E-3</v>
      </c>
      <c r="O6" s="2" t="s">
        <v>6</v>
      </c>
      <c r="P6" s="3">
        <v>1E-3</v>
      </c>
      <c r="R6" s="2" t="s">
        <v>6</v>
      </c>
      <c r="S6" s="3">
        <v>1E-3</v>
      </c>
      <c r="U6" s="2" t="s">
        <v>6</v>
      </c>
      <c r="V6" s="3">
        <v>1E-3</v>
      </c>
    </row>
    <row r="7" spans="1:23" x14ac:dyDescent="0.25">
      <c r="C7" s="19" t="s">
        <v>7</v>
      </c>
      <c r="D7" s="20">
        <v>11.585516662990967</v>
      </c>
      <c r="F7" s="19" t="s">
        <v>7</v>
      </c>
      <c r="G7" s="20">
        <v>-3745.9306626208213</v>
      </c>
      <c r="I7" s="2" t="s">
        <v>7</v>
      </c>
      <c r="J7" s="3">
        <v>1</v>
      </c>
      <c r="L7" s="2" t="s">
        <v>7</v>
      </c>
      <c r="M7" s="3">
        <v>1</v>
      </c>
      <c r="O7" s="2" t="s">
        <v>7</v>
      </c>
      <c r="P7" s="3">
        <v>1</v>
      </c>
      <c r="R7" s="2" t="s">
        <v>7</v>
      </c>
      <c r="S7" s="3">
        <v>1</v>
      </c>
      <c r="U7" s="2" t="s">
        <v>7</v>
      </c>
      <c r="V7" s="3">
        <v>1</v>
      </c>
    </row>
    <row r="8" spans="1:23" ht="15.75" thickBot="1" x14ac:dyDescent="0.3">
      <c r="C8" s="27" t="s">
        <v>8</v>
      </c>
      <c r="D8" s="24">
        <v>7743.5192678072353</v>
      </c>
      <c r="F8" s="27" t="s">
        <v>8</v>
      </c>
      <c r="G8" s="24">
        <v>11.133749372468946</v>
      </c>
      <c r="I8" s="2" t="s">
        <v>8</v>
      </c>
      <c r="J8" s="3">
        <v>1</v>
      </c>
      <c r="L8" s="2" t="s">
        <v>8</v>
      </c>
      <c r="M8" s="3">
        <v>1</v>
      </c>
      <c r="O8" s="2" t="s">
        <v>8</v>
      </c>
      <c r="P8" s="3">
        <v>1</v>
      </c>
      <c r="R8" s="2" t="s">
        <v>8</v>
      </c>
      <c r="S8" s="3">
        <v>1</v>
      </c>
      <c r="U8" s="2" t="s">
        <v>8</v>
      </c>
      <c r="V8" s="3">
        <v>1</v>
      </c>
    </row>
    <row r="9" spans="1:23" ht="15.75" thickBot="1" x14ac:dyDescent="0.3">
      <c r="C9" s="42" t="s">
        <v>15</v>
      </c>
      <c r="D9" s="43">
        <f>SUMSQ(E15:E59)</f>
        <v>0.27668489560845838</v>
      </c>
      <c r="F9" s="42" t="s">
        <v>15</v>
      </c>
      <c r="G9" s="43">
        <f>SUMSQ(H15:H59)</f>
        <v>0.29670215811471767</v>
      </c>
      <c r="I9" s="42" t="s">
        <v>15</v>
      </c>
      <c r="J9" s="43">
        <f>SUMSQ(K15:K59)</f>
        <v>0</v>
      </c>
      <c r="L9" s="42" t="s">
        <v>15</v>
      </c>
      <c r="M9" s="43">
        <f>SUMSQ(N15:N59)</f>
        <v>0</v>
      </c>
      <c r="O9" s="42" t="s">
        <v>15</v>
      </c>
      <c r="P9" s="43">
        <f>SUMSQ(Q15:Q59)</f>
        <v>0</v>
      </c>
      <c r="R9" s="42" t="s">
        <v>15</v>
      </c>
      <c r="S9" s="43">
        <f>SUMSQ(T15:T59)</f>
        <v>0</v>
      </c>
      <c r="U9" s="42" t="s">
        <v>15</v>
      </c>
      <c r="V9" s="43">
        <f>SUMSQ(W15:W59)</f>
        <v>0</v>
      </c>
    </row>
    <row r="10" spans="1:23" ht="15.75" thickTop="1" x14ac:dyDescent="0.25"/>
    <row r="12" spans="1:23" ht="15.75" thickBot="1" x14ac:dyDescent="0.3"/>
    <row r="13" spans="1:23" ht="15.75" thickBot="1" x14ac:dyDescent="0.3">
      <c r="A13" s="28"/>
      <c r="B13" s="29"/>
      <c r="C13" s="34">
        <v>40808</v>
      </c>
      <c r="D13" s="35"/>
      <c r="E13" s="36"/>
      <c r="F13" s="34">
        <v>40809</v>
      </c>
      <c r="G13" s="35"/>
      <c r="H13" s="36"/>
      <c r="I13" s="34">
        <v>40812</v>
      </c>
      <c r="J13" s="35"/>
      <c r="K13" s="36"/>
      <c r="L13" s="34">
        <v>40813</v>
      </c>
      <c r="M13" s="35"/>
      <c r="N13" s="36"/>
      <c r="O13" s="34">
        <v>40814</v>
      </c>
      <c r="P13" s="35"/>
      <c r="Q13" s="36"/>
      <c r="R13" s="34">
        <v>40815</v>
      </c>
      <c r="S13" s="35"/>
      <c r="T13" s="35"/>
      <c r="U13" s="37">
        <v>40816</v>
      </c>
      <c r="V13" s="35"/>
      <c r="W13" s="38"/>
    </row>
    <row r="14" spans="1:23" ht="15.75" thickBot="1" x14ac:dyDescent="0.3">
      <c r="A14" s="28" t="s">
        <v>12</v>
      </c>
      <c r="B14" s="29" t="s">
        <v>14</v>
      </c>
      <c r="C14" s="39" t="s">
        <v>13</v>
      </c>
      <c r="D14" s="39" t="s">
        <v>1</v>
      </c>
      <c r="E14" s="39" t="s">
        <v>2</v>
      </c>
      <c r="F14" s="39" t="s">
        <v>13</v>
      </c>
      <c r="G14" s="39" t="s">
        <v>1</v>
      </c>
      <c r="H14" s="39" t="s">
        <v>2</v>
      </c>
      <c r="I14" s="39" t="s">
        <v>13</v>
      </c>
      <c r="J14" s="39" t="s">
        <v>1</v>
      </c>
      <c r="K14" s="39" t="s">
        <v>2</v>
      </c>
      <c r="L14" s="39" t="s">
        <v>13</v>
      </c>
      <c r="M14" s="39" t="s">
        <v>1</v>
      </c>
      <c r="N14" s="39" t="s">
        <v>2</v>
      </c>
      <c r="O14" s="39" t="s">
        <v>13</v>
      </c>
      <c r="P14" s="39" t="s">
        <v>1</v>
      </c>
      <c r="Q14" s="39" t="s">
        <v>2</v>
      </c>
      <c r="R14" s="39" t="s">
        <v>13</v>
      </c>
      <c r="S14" s="39" t="s">
        <v>1</v>
      </c>
      <c r="T14" s="39" t="s">
        <v>2</v>
      </c>
      <c r="U14" s="41" t="s">
        <v>13</v>
      </c>
      <c r="V14" s="39" t="s">
        <v>1</v>
      </c>
      <c r="W14" s="41" t="s">
        <v>2</v>
      </c>
    </row>
    <row r="15" spans="1:23" x14ac:dyDescent="0.25">
      <c r="A15" s="10">
        <v>30</v>
      </c>
      <c r="B15" s="30">
        <f>A15/365</f>
        <v>8.2191780821917804E-2</v>
      </c>
      <c r="C15" s="25">
        <v>0.92310000000000003</v>
      </c>
      <c r="D15" s="25">
        <f>$D$3+$D$4*((EXP(-B15/$D$7))/(B15/$D$7))+$D$5*(((1-EXP(-B15/$D$7))/(B15/$D$7))-EXP(-B15/$D$7))+$D$6*(((1-EXP(-B15/$D$8))/(B15/$D$8))-EXP(-B15/$D$8))</f>
        <v>1.07751286206615</v>
      </c>
      <c r="E15" s="25">
        <f>C15-D15</f>
        <v>-0.15441286206615001</v>
      </c>
      <c r="F15" s="25">
        <v>0.89100000000000001</v>
      </c>
      <c r="G15" s="25">
        <f>$G$3+$G$4*((EXP(-B15/$G$7))/(B15/$G$7))+$G$5*(((1-EXP(-B15/$G$7))/(B15/$G$7))-EXP(-B15/$G$7))+$G$6*(((1-EXP(-B15/$G$8))/(B15/$G$8))-EXP(-B15/$G$8))</f>
        <v>1.0475234702022589</v>
      </c>
      <c r="H15" s="25">
        <f>F15-G15</f>
        <v>-0.15652347020225887</v>
      </c>
      <c r="I15" s="25">
        <v>0.89280000000000004</v>
      </c>
      <c r="J15" s="25"/>
      <c r="K15" s="25"/>
      <c r="L15" s="25">
        <v>0.91869999999999996</v>
      </c>
      <c r="M15" s="25"/>
      <c r="N15" s="25"/>
      <c r="O15" s="25">
        <v>0.94699999999999995</v>
      </c>
      <c r="P15" s="25"/>
      <c r="Q15" s="25"/>
      <c r="R15" s="25">
        <v>0.88959999999999995</v>
      </c>
      <c r="S15" s="31"/>
      <c r="T15" s="31"/>
      <c r="U15" s="25">
        <v>0.89090000000000003</v>
      </c>
      <c r="V15" s="25"/>
      <c r="W15" s="26"/>
    </row>
    <row r="16" spans="1:23" x14ac:dyDescent="0.25">
      <c r="A16" s="5">
        <v>60</v>
      </c>
      <c r="B16" s="30">
        <f t="shared" ref="B16:B59" si="0">A16/365</f>
        <v>0.16438356164383561</v>
      </c>
      <c r="C16" s="3">
        <v>0.77200000000000002</v>
      </c>
      <c r="D16" s="25">
        <f t="shared" ref="D16:D59" si="1">$D$3+$D$4*((EXP(-B16/$D$7))/(B16/$D$7))+$D$5*(((1-EXP(-B16/$D$7))/(B16/$D$7))-EXP(-B16/$D$7))+$D$6*(((1-EXP(-B16/$D$8))/(B16/$D$8))-EXP(-B16/$D$8))</f>
        <v>0.64215445869503218</v>
      </c>
      <c r="E16" s="25">
        <f t="shared" ref="E16:E59" si="2">C16-D16</f>
        <v>0.12984554130496784</v>
      </c>
      <c r="F16" s="3">
        <v>0.73280000000000001</v>
      </c>
      <c r="G16" s="25">
        <f t="shared" ref="G16:G59" si="3">$G$3+$G$4*((EXP(-B16/$G$7))/(B16/$G$7))+$G$5*(((1-EXP(-B16/$G$7))/(B16/$G$7))-EXP(-B16/$G$7))+$G$6*(((1-EXP(-B16/$G$8))/(B16/$G$8))-EXP(-B16/$G$8))</f>
        <v>0.60448879990083915</v>
      </c>
      <c r="H16" s="25">
        <f t="shared" ref="H16:H59" si="4">F16-G16</f>
        <v>0.12831120009916086</v>
      </c>
      <c r="I16" s="3">
        <v>0.74609999999999999</v>
      </c>
      <c r="J16" s="3"/>
      <c r="K16" s="3"/>
      <c r="L16" s="3">
        <v>0.8125</v>
      </c>
      <c r="M16" s="3"/>
      <c r="N16" s="3"/>
      <c r="O16" s="3">
        <v>0.84050000000000002</v>
      </c>
      <c r="P16" s="3"/>
      <c r="Q16" s="3"/>
      <c r="R16" s="3">
        <v>0.79590000000000005</v>
      </c>
      <c r="S16" s="32"/>
      <c r="T16" s="32"/>
      <c r="U16" s="3">
        <v>0.81040000000000001</v>
      </c>
      <c r="V16" s="3"/>
      <c r="W16" s="20"/>
    </row>
    <row r="17" spans="1:23" x14ac:dyDescent="0.25">
      <c r="A17" s="5">
        <v>90</v>
      </c>
      <c r="B17" s="30">
        <f t="shared" si="0"/>
        <v>0.24657534246575341</v>
      </c>
      <c r="C17" s="3">
        <v>0.71050000000000002</v>
      </c>
      <c r="D17" s="25">
        <f t="shared" si="1"/>
        <v>0.51344863931455864</v>
      </c>
      <c r="E17" s="25">
        <f t="shared" si="2"/>
        <v>0.19705136068544138</v>
      </c>
      <c r="F17" s="3">
        <v>0.67259999999999998</v>
      </c>
      <c r="G17" s="25">
        <f t="shared" si="3"/>
        <v>0.47434757085026663</v>
      </c>
      <c r="H17" s="25">
        <f t="shared" si="4"/>
        <v>0.19825242914973334</v>
      </c>
      <c r="I17" s="3">
        <v>0.68420000000000003</v>
      </c>
      <c r="J17" s="3"/>
      <c r="K17" s="3"/>
      <c r="L17" s="3">
        <v>0.75519999999999998</v>
      </c>
      <c r="M17" s="3"/>
      <c r="N17" s="3"/>
      <c r="O17" s="3">
        <v>0.7843</v>
      </c>
      <c r="P17" s="3"/>
      <c r="Q17" s="3"/>
      <c r="R17" s="3">
        <v>0.76239999999999997</v>
      </c>
      <c r="S17" s="32"/>
      <c r="T17" s="32"/>
      <c r="U17" s="3">
        <v>0.76549999999999996</v>
      </c>
      <c r="V17" s="3"/>
      <c r="W17" s="20"/>
    </row>
    <row r="18" spans="1:23" x14ac:dyDescent="0.25">
      <c r="A18" s="5">
        <v>180</v>
      </c>
      <c r="B18" s="30">
        <f t="shared" si="0"/>
        <v>0.49315068493150682</v>
      </c>
      <c r="C18" s="3">
        <v>0.59950000000000003</v>
      </c>
      <c r="D18" s="25">
        <f t="shared" si="1"/>
        <v>0.4328799486434281</v>
      </c>
      <c r="E18" s="25">
        <f t="shared" si="2"/>
        <v>0.16662005135657193</v>
      </c>
      <c r="F18" s="3">
        <v>0.57930000000000004</v>
      </c>
      <c r="G18" s="25">
        <f t="shared" si="3"/>
        <v>0.39559138942641514</v>
      </c>
      <c r="H18" s="25">
        <f t="shared" si="4"/>
        <v>0.1837086105735849</v>
      </c>
      <c r="I18" s="3">
        <v>0.60729999999999995</v>
      </c>
      <c r="J18" s="3"/>
      <c r="K18" s="3"/>
      <c r="L18" s="3">
        <v>0.70120000000000005</v>
      </c>
      <c r="M18" s="3"/>
      <c r="N18" s="3"/>
      <c r="O18" s="3">
        <v>0.72650000000000003</v>
      </c>
      <c r="P18" s="3"/>
      <c r="Q18" s="3"/>
      <c r="R18" s="3">
        <v>0.70050000000000001</v>
      </c>
      <c r="S18" s="32"/>
      <c r="T18" s="32"/>
      <c r="U18" s="3">
        <v>0.66559999999999997</v>
      </c>
      <c r="V18" s="3"/>
      <c r="W18" s="20"/>
    </row>
    <row r="19" spans="1:23" x14ac:dyDescent="0.25">
      <c r="A19" s="5">
        <v>270</v>
      </c>
      <c r="B19" s="30">
        <f t="shared" si="0"/>
        <v>0.73972602739726023</v>
      </c>
      <c r="C19" s="3">
        <v>0.57099999999999995</v>
      </c>
      <c r="D19" s="25">
        <f t="shared" si="1"/>
        <v>0.4526481239682657</v>
      </c>
      <c r="E19" s="25">
        <f t="shared" si="2"/>
        <v>0.11835187603173425</v>
      </c>
      <c r="F19" s="3">
        <v>0.54810000000000003</v>
      </c>
      <c r="G19" s="25">
        <f t="shared" si="3"/>
        <v>0.41904577463086845</v>
      </c>
      <c r="H19" s="25">
        <f t="shared" si="4"/>
        <v>0.12905422536913158</v>
      </c>
      <c r="I19" s="3">
        <v>0.58069999999999999</v>
      </c>
      <c r="J19" s="3"/>
      <c r="K19" s="3"/>
      <c r="L19" s="3">
        <v>0.68589999999999995</v>
      </c>
      <c r="M19" s="3"/>
      <c r="N19" s="3"/>
      <c r="O19" s="3">
        <v>0.71930000000000005</v>
      </c>
      <c r="P19" s="3"/>
      <c r="Q19" s="3"/>
      <c r="R19" s="3">
        <v>0.70330000000000004</v>
      </c>
      <c r="S19" s="32"/>
      <c r="T19" s="32"/>
      <c r="U19" s="3">
        <v>0.66520000000000001</v>
      </c>
      <c r="V19" s="3"/>
      <c r="W19" s="20"/>
    </row>
    <row r="20" spans="1:23" x14ac:dyDescent="0.25">
      <c r="A20" s="5">
        <v>365</v>
      </c>
      <c r="B20" s="30">
        <f t="shared" si="0"/>
        <v>1</v>
      </c>
      <c r="C20" s="3">
        <v>0.56850000000000001</v>
      </c>
      <c r="D20" s="25">
        <f t="shared" si="1"/>
        <v>0.49880795651441828</v>
      </c>
      <c r="E20" s="25">
        <f t="shared" si="2"/>
        <v>6.9692043485581723E-2</v>
      </c>
      <c r="F20" s="3">
        <v>0.54169999999999996</v>
      </c>
      <c r="G20" s="25">
        <f t="shared" si="3"/>
        <v>0.46943010820440767</v>
      </c>
      <c r="H20" s="25">
        <f t="shared" si="4"/>
        <v>7.2269891795592289E-2</v>
      </c>
      <c r="I20" s="3">
        <v>0.57830000000000004</v>
      </c>
      <c r="J20" s="3"/>
      <c r="K20" s="3"/>
      <c r="L20" s="3">
        <v>0.68149999999999999</v>
      </c>
      <c r="M20" s="3"/>
      <c r="N20" s="3"/>
      <c r="O20" s="3">
        <v>0.72189999999999999</v>
      </c>
      <c r="P20" s="3"/>
      <c r="Q20" s="3"/>
      <c r="R20" s="3">
        <v>0.71350000000000002</v>
      </c>
      <c r="S20" s="32"/>
      <c r="T20" s="32"/>
      <c r="U20" s="3">
        <v>0.66620000000000001</v>
      </c>
      <c r="V20" s="3"/>
      <c r="W20" s="20"/>
    </row>
    <row r="21" spans="1:23" x14ac:dyDescent="0.25">
      <c r="A21" s="5">
        <v>455</v>
      </c>
      <c r="B21" s="30">
        <f t="shared" si="0"/>
        <v>1.2465753424657535</v>
      </c>
      <c r="C21" s="3">
        <v>0.57430000000000003</v>
      </c>
      <c r="D21" s="25">
        <f t="shared" si="1"/>
        <v>0.5508799799089511</v>
      </c>
      <c r="E21" s="25">
        <f t="shared" si="2"/>
        <v>2.3420020091048932E-2</v>
      </c>
      <c r="F21" s="3">
        <v>0.54649999999999999</v>
      </c>
      <c r="G21" s="25">
        <f t="shared" si="3"/>
        <v>0.52550763102942821</v>
      </c>
      <c r="H21" s="25">
        <f t="shared" si="4"/>
        <v>2.0992368970571773E-2</v>
      </c>
      <c r="I21" s="3">
        <v>0.58640000000000003</v>
      </c>
      <c r="J21" s="3"/>
      <c r="K21" s="3"/>
      <c r="L21" s="3">
        <v>0.68520000000000003</v>
      </c>
      <c r="M21" s="3"/>
      <c r="N21" s="3"/>
      <c r="O21" s="3">
        <v>0.73380000000000001</v>
      </c>
      <c r="P21" s="3"/>
      <c r="Q21" s="3"/>
      <c r="R21" s="3">
        <v>0.7288</v>
      </c>
      <c r="S21" s="32"/>
      <c r="T21" s="32"/>
      <c r="U21" s="3">
        <v>0.6784</v>
      </c>
      <c r="V21" s="3"/>
      <c r="W21" s="20"/>
    </row>
    <row r="22" spans="1:23" x14ac:dyDescent="0.25">
      <c r="A22" s="5">
        <v>545</v>
      </c>
      <c r="B22" s="30">
        <f t="shared" si="0"/>
        <v>1.4931506849315068</v>
      </c>
      <c r="C22" s="3">
        <v>0.58789999999999998</v>
      </c>
      <c r="D22" s="25">
        <f t="shared" si="1"/>
        <v>0.60607843202284761</v>
      </c>
      <c r="E22" s="25">
        <f t="shared" si="2"/>
        <v>-1.8178432022847635E-2</v>
      </c>
      <c r="F22" s="3">
        <v>0.56120000000000003</v>
      </c>
      <c r="G22" s="25">
        <f t="shared" si="3"/>
        <v>0.58461892363824153</v>
      </c>
      <c r="H22" s="25">
        <f t="shared" si="4"/>
        <v>-2.3418923638241496E-2</v>
      </c>
      <c r="I22" s="3">
        <v>0.60489999999999999</v>
      </c>
      <c r="J22" s="3"/>
      <c r="K22" s="3"/>
      <c r="L22" s="3">
        <v>0.69689999999999996</v>
      </c>
      <c r="M22" s="3"/>
      <c r="N22" s="3"/>
      <c r="O22" s="3">
        <v>0.74809999999999999</v>
      </c>
      <c r="P22" s="3"/>
      <c r="Q22" s="3"/>
      <c r="R22" s="3">
        <v>0.74770000000000003</v>
      </c>
      <c r="S22" s="32"/>
      <c r="T22" s="32"/>
      <c r="U22" s="3">
        <v>0.69530000000000003</v>
      </c>
      <c r="V22" s="3"/>
      <c r="W22" s="20"/>
    </row>
    <row r="23" spans="1:23" x14ac:dyDescent="0.25">
      <c r="A23" s="5">
        <v>635</v>
      </c>
      <c r="B23" s="30">
        <f t="shared" si="0"/>
        <v>1.7397260273972603</v>
      </c>
      <c r="C23" s="3">
        <v>0.61270000000000002</v>
      </c>
      <c r="D23" s="25">
        <f t="shared" si="1"/>
        <v>0.66234469957678144</v>
      </c>
      <c r="E23" s="25">
        <f t="shared" si="2"/>
        <v>-4.9644699576781415E-2</v>
      </c>
      <c r="F23" s="3">
        <v>0.58599999999999997</v>
      </c>
      <c r="G23" s="25">
        <f t="shared" si="3"/>
        <v>0.64466902284815164</v>
      </c>
      <c r="H23" s="25">
        <f t="shared" si="4"/>
        <v>-5.8669022848151675E-2</v>
      </c>
      <c r="I23" s="3">
        <v>0.63419999999999999</v>
      </c>
      <c r="J23" s="3"/>
      <c r="K23" s="3"/>
      <c r="L23" s="3">
        <v>0.72089999999999999</v>
      </c>
      <c r="M23" s="3"/>
      <c r="N23" s="3"/>
      <c r="O23" s="3">
        <v>0.77559999999999996</v>
      </c>
      <c r="P23" s="3"/>
      <c r="Q23" s="3"/>
      <c r="R23" s="3">
        <v>0.77680000000000005</v>
      </c>
      <c r="S23" s="32"/>
      <c r="T23" s="32"/>
      <c r="U23" s="3">
        <v>0.71919999999999995</v>
      </c>
      <c r="V23" s="3"/>
      <c r="W23" s="20"/>
    </row>
    <row r="24" spans="1:23" x14ac:dyDescent="0.25">
      <c r="A24" s="5">
        <v>730</v>
      </c>
      <c r="B24" s="30">
        <f t="shared" si="0"/>
        <v>2</v>
      </c>
      <c r="C24" s="3">
        <v>0.64459999999999995</v>
      </c>
      <c r="D24" s="25">
        <f t="shared" si="1"/>
        <v>0.72178078953844649</v>
      </c>
      <c r="E24" s="25">
        <f t="shared" si="2"/>
        <v>-7.7180789538446537E-2</v>
      </c>
      <c r="F24" s="3">
        <v>0.62109999999999999</v>
      </c>
      <c r="G24" s="25">
        <f t="shared" si="3"/>
        <v>0.70794252781206568</v>
      </c>
      <c r="H24" s="25">
        <f t="shared" si="4"/>
        <v>-8.6842527812065695E-2</v>
      </c>
      <c r="I24" s="3">
        <v>0.6734</v>
      </c>
      <c r="J24" s="3"/>
      <c r="K24" s="3"/>
      <c r="L24" s="3">
        <v>0.755</v>
      </c>
      <c r="M24" s="3"/>
      <c r="N24" s="3"/>
      <c r="O24" s="3">
        <v>0.81140000000000001</v>
      </c>
      <c r="P24" s="3"/>
      <c r="Q24" s="3"/>
      <c r="R24" s="3">
        <v>0.81100000000000005</v>
      </c>
      <c r="S24" s="32"/>
      <c r="T24" s="32"/>
      <c r="U24" s="3">
        <v>0.75129999999999997</v>
      </c>
      <c r="V24" s="3"/>
      <c r="W24" s="20"/>
    </row>
    <row r="25" spans="1:23" x14ac:dyDescent="0.25">
      <c r="A25" s="5">
        <v>820</v>
      </c>
      <c r="B25" s="30">
        <f t="shared" si="0"/>
        <v>2.2465753424657535</v>
      </c>
      <c r="C25" s="3">
        <v>0.68400000000000005</v>
      </c>
      <c r="D25" s="25">
        <f t="shared" si="1"/>
        <v>0.77756308838576693</v>
      </c>
      <c r="E25" s="25">
        <f t="shared" si="2"/>
        <v>-9.3563088385766879E-2</v>
      </c>
      <c r="F25" s="3">
        <v>0.66649999999999998</v>
      </c>
      <c r="G25" s="25">
        <f t="shared" si="3"/>
        <v>0.76720589225374458</v>
      </c>
      <c r="H25" s="25">
        <f t="shared" si="4"/>
        <v>-0.1007058922537446</v>
      </c>
      <c r="I25" s="3">
        <v>0.71489999999999998</v>
      </c>
      <c r="J25" s="3"/>
      <c r="K25" s="3"/>
      <c r="L25" s="3">
        <v>0.79449999999999998</v>
      </c>
      <c r="M25" s="3"/>
      <c r="N25" s="3"/>
      <c r="O25" s="3">
        <v>0.8538</v>
      </c>
      <c r="P25" s="3"/>
      <c r="Q25" s="3"/>
      <c r="R25" s="3">
        <v>0.85009999999999997</v>
      </c>
      <c r="S25" s="32"/>
      <c r="T25" s="32"/>
      <c r="U25" s="3">
        <v>0.7883</v>
      </c>
      <c r="V25" s="3"/>
      <c r="W25" s="20"/>
    </row>
    <row r="26" spans="1:23" x14ac:dyDescent="0.25">
      <c r="A26" s="5">
        <v>910</v>
      </c>
      <c r="B26" s="30">
        <f t="shared" si="0"/>
        <v>2.493150684931507</v>
      </c>
      <c r="C26" s="3">
        <v>0.72770000000000001</v>
      </c>
      <c r="D26" s="25">
        <f t="shared" si="1"/>
        <v>0.83251943167541276</v>
      </c>
      <c r="E26" s="25">
        <f t="shared" si="2"/>
        <v>-0.10481943167541274</v>
      </c>
      <c r="F26" s="3">
        <v>0.71579999999999999</v>
      </c>
      <c r="G26" s="25">
        <f t="shared" si="3"/>
        <v>0.82549193706741186</v>
      </c>
      <c r="H26" s="25">
        <f t="shared" si="4"/>
        <v>-0.10969193706741187</v>
      </c>
      <c r="I26" s="3">
        <v>0.76219999999999999</v>
      </c>
      <c r="J26" s="3"/>
      <c r="K26" s="3"/>
      <c r="L26" s="3">
        <v>0.84119999999999995</v>
      </c>
      <c r="M26" s="3"/>
      <c r="N26" s="3"/>
      <c r="O26" s="3">
        <v>0.89849999999999997</v>
      </c>
      <c r="P26" s="3"/>
      <c r="Q26" s="3"/>
      <c r="R26" s="3">
        <v>0.89529999999999998</v>
      </c>
      <c r="S26" s="32"/>
      <c r="T26" s="32"/>
      <c r="U26" s="3">
        <v>0.8296</v>
      </c>
      <c r="V26" s="3"/>
      <c r="W26" s="20"/>
    </row>
    <row r="27" spans="1:23" x14ac:dyDescent="0.25">
      <c r="A27" s="21">
        <v>1000</v>
      </c>
      <c r="B27" s="30">
        <f t="shared" si="0"/>
        <v>2.7397260273972601</v>
      </c>
      <c r="C27" s="3">
        <v>0.77859999999999996</v>
      </c>
      <c r="D27" s="25">
        <f t="shared" si="1"/>
        <v>0.88646750652853323</v>
      </c>
      <c r="E27" s="25">
        <f t="shared" si="2"/>
        <v>-0.10786750652853327</v>
      </c>
      <c r="F27" s="3">
        <v>0.77100000000000002</v>
      </c>
      <c r="G27" s="25">
        <f t="shared" si="3"/>
        <v>0.88261963672665866</v>
      </c>
      <c r="H27" s="25">
        <f t="shared" si="4"/>
        <v>-0.11161963672665864</v>
      </c>
      <c r="I27" s="3">
        <v>0.81869999999999998</v>
      </c>
      <c r="J27" s="3"/>
      <c r="K27" s="3"/>
      <c r="L27" s="3">
        <v>0.89410000000000001</v>
      </c>
      <c r="M27" s="3"/>
      <c r="N27" s="3"/>
      <c r="O27" s="3">
        <v>0.94920000000000004</v>
      </c>
      <c r="P27" s="3"/>
      <c r="Q27" s="3"/>
      <c r="R27" s="3">
        <v>0.94779999999999998</v>
      </c>
      <c r="S27" s="32"/>
      <c r="T27" s="32"/>
      <c r="U27" s="3">
        <v>0.879</v>
      </c>
      <c r="V27" s="3"/>
      <c r="W27" s="20"/>
    </row>
    <row r="28" spans="1:23" x14ac:dyDescent="0.25">
      <c r="A28" s="21">
        <v>1095</v>
      </c>
      <c r="B28" s="30">
        <f t="shared" si="0"/>
        <v>3</v>
      </c>
      <c r="C28" s="3">
        <v>0.83409999999999995</v>
      </c>
      <c r="D28" s="25">
        <f t="shared" si="1"/>
        <v>0.94219808646748426</v>
      </c>
      <c r="E28" s="25">
        <f t="shared" si="2"/>
        <v>-0.10809808646748431</v>
      </c>
      <c r="F28" s="3">
        <v>0.83130000000000004</v>
      </c>
      <c r="G28" s="25">
        <f t="shared" si="3"/>
        <v>0.94154656969863004</v>
      </c>
      <c r="H28" s="25">
        <f t="shared" si="4"/>
        <v>-0.11024656969863</v>
      </c>
      <c r="I28" s="3">
        <v>0.87690000000000001</v>
      </c>
      <c r="J28" s="3"/>
      <c r="K28" s="3"/>
      <c r="L28" s="3">
        <v>0.95130000000000003</v>
      </c>
      <c r="M28" s="3"/>
      <c r="N28" s="3"/>
      <c r="O28" s="3">
        <v>1.0061</v>
      </c>
      <c r="P28" s="3"/>
      <c r="Q28" s="3"/>
      <c r="R28" s="3">
        <v>1.0062</v>
      </c>
      <c r="S28" s="32"/>
      <c r="T28" s="32"/>
      <c r="U28" s="3">
        <v>0.93530000000000002</v>
      </c>
      <c r="V28" s="3"/>
      <c r="W28" s="20"/>
    </row>
    <row r="29" spans="1:23" x14ac:dyDescent="0.25">
      <c r="A29" s="21">
        <v>1185</v>
      </c>
      <c r="B29" s="30">
        <f t="shared" si="0"/>
        <v>3.2465753424657535</v>
      </c>
      <c r="C29" s="3">
        <v>0.89439999999999997</v>
      </c>
      <c r="D29" s="25">
        <f t="shared" si="1"/>
        <v>0.99377713457516614</v>
      </c>
      <c r="E29" s="25">
        <f t="shared" si="2"/>
        <v>-9.9377134575166171E-2</v>
      </c>
      <c r="F29" s="3">
        <v>0.89270000000000005</v>
      </c>
      <c r="G29" s="25">
        <f t="shared" si="3"/>
        <v>0.99600578072651791</v>
      </c>
      <c r="H29" s="25">
        <f t="shared" si="4"/>
        <v>-0.10330578072651786</v>
      </c>
      <c r="I29" s="3">
        <v>0.93710000000000004</v>
      </c>
      <c r="J29" s="3"/>
      <c r="K29" s="3"/>
      <c r="L29" s="3">
        <v>1.0114000000000001</v>
      </c>
      <c r="M29" s="3"/>
      <c r="N29" s="3"/>
      <c r="O29" s="3">
        <v>1.0686</v>
      </c>
      <c r="P29" s="3"/>
      <c r="Q29" s="3"/>
      <c r="R29" s="3">
        <v>1.0703</v>
      </c>
      <c r="S29" s="32"/>
      <c r="T29" s="32"/>
      <c r="U29" s="3">
        <v>0.99399999999999999</v>
      </c>
      <c r="V29" s="3"/>
      <c r="W29" s="20"/>
    </row>
    <row r="30" spans="1:23" x14ac:dyDescent="0.25">
      <c r="A30" s="21">
        <v>1275</v>
      </c>
      <c r="B30" s="30">
        <f t="shared" si="0"/>
        <v>3.493150684931507</v>
      </c>
      <c r="C30" s="3">
        <v>0.95189999999999997</v>
      </c>
      <c r="D30" s="25">
        <f t="shared" si="1"/>
        <v>1.0441338876637105</v>
      </c>
      <c r="E30" s="25">
        <f t="shared" si="2"/>
        <v>-9.2233887663710545E-2</v>
      </c>
      <c r="F30" s="3">
        <v>0.95340000000000003</v>
      </c>
      <c r="G30" s="25">
        <f t="shared" si="3"/>
        <v>1.0491026196834228</v>
      </c>
      <c r="H30" s="25">
        <f t="shared" si="4"/>
        <v>-9.5702619683422752E-2</v>
      </c>
      <c r="I30" s="3">
        <v>0.99829999999999997</v>
      </c>
      <c r="J30" s="3"/>
      <c r="K30" s="3"/>
      <c r="L30" s="3">
        <v>1.0731999999999999</v>
      </c>
      <c r="M30" s="3"/>
      <c r="N30" s="3"/>
      <c r="O30" s="3">
        <v>1.1326000000000001</v>
      </c>
      <c r="P30" s="3"/>
      <c r="Q30" s="3"/>
      <c r="R30" s="3">
        <v>1.1352</v>
      </c>
      <c r="S30" s="32"/>
      <c r="T30" s="32"/>
      <c r="U30" s="3">
        <v>1.0557000000000001</v>
      </c>
      <c r="V30" s="3"/>
      <c r="W30" s="20"/>
    </row>
    <row r="31" spans="1:23" x14ac:dyDescent="0.25">
      <c r="A31" s="21">
        <v>1365</v>
      </c>
      <c r="B31" s="30">
        <f t="shared" si="0"/>
        <v>3.7397260273972601</v>
      </c>
      <c r="C31" s="3">
        <v>1.0138</v>
      </c>
      <c r="D31" s="25">
        <f t="shared" si="1"/>
        <v>1.0932508182883958</v>
      </c>
      <c r="E31" s="25">
        <f t="shared" si="2"/>
        <v>-7.945081828839573E-2</v>
      </c>
      <c r="F31" s="3">
        <v>1.0195000000000001</v>
      </c>
      <c r="G31" s="25">
        <f t="shared" si="3"/>
        <v>1.1008236111983505</v>
      </c>
      <c r="H31" s="25">
        <f t="shared" si="4"/>
        <v>-8.132361119835041E-2</v>
      </c>
      <c r="I31" s="3">
        <v>1.0606</v>
      </c>
      <c r="J31" s="3"/>
      <c r="K31" s="3"/>
      <c r="L31" s="3">
        <v>1.1364000000000001</v>
      </c>
      <c r="M31" s="3"/>
      <c r="N31" s="3"/>
      <c r="O31" s="3">
        <v>1.1995</v>
      </c>
      <c r="P31" s="3"/>
      <c r="Q31" s="3"/>
      <c r="R31" s="3">
        <v>1.1981999999999999</v>
      </c>
      <c r="S31" s="32"/>
      <c r="T31" s="32"/>
      <c r="U31" s="3">
        <v>1.1181000000000001</v>
      </c>
      <c r="V31" s="3"/>
      <c r="W31" s="20"/>
    </row>
    <row r="32" spans="1:23" x14ac:dyDescent="0.25">
      <c r="A32" s="21">
        <v>1460</v>
      </c>
      <c r="B32" s="30">
        <f t="shared" si="0"/>
        <v>4</v>
      </c>
      <c r="C32" s="3">
        <v>1.0765</v>
      </c>
      <c r="D32" s="25">
        <f t="shared" si="1"/>
        <v>1.1437459113902864</v>
      </c>
      <c r="E32" s="25">
        <f t="shared" si="2"/>
        <v>-6.724591139028635E-2</v>
      </c>
      <c r="F32" s="3">
        <v>1.0831999999999999</v>
      </c>
      <c r="G32" s="25">
        <f t="shared" si="3"/>
        <v>1.1539244717601205</v>
      </c>
      <c r="H32" s="25">
        <f t="shared" si="4"/>
        <v>-7.0724471760120533E-2</v>
      </c>
      <c r="I32" s="3">
        <v>1.1232</v>
      </c>
      <c r="J32" s="3"/>
      <c r="K32" s="3"/>
      <c r="L32" s="3">
        <v>1.2004999999999999</v>
      </c>
      <c r="M32" s="3"/>
      <c r="N32" s="3"/>
      <c r="O32" s="3">
        <v>1.2669999999999999</v>
      </c>
      <c r="P32" s="3"/>
      <c r="Q32" s="3"/>
      <c r="R32" s="3">
        <v>1.266</v>
      </c>
      <c r="S32" s="32"/>
      <c r="T32" s="32"/>
      <c r="U32" s="3">
        <v>1.1815</v>
      </c>
      <c r="V32" s="3"/>
      <c r="W32" s="20"/>
    </row>
    <row r="33" spans="1:23" x14ac:dyDescent="0.25">
      <c r="A33" s="21">
        <v>1550</v>
      </c>
      <c r="B33" s="30">
        <f t="shared" si="0"/>
        <v>4.2465753424657535</v>
      </c>
      <c r="C33" s="3">
        <v>1.1357999999999999</v>
      </c>
      <c r="D33" s="25">
        <f t="shared" si="1"/>
        <v>1.1903077280750554</v>
      </c>
      <c r="E33" s="25">
        <f t="shared" si="2"/>
        <v>-5.4507728075055439E-2</v>
      </c>
      <c r="F33" s="3">
        <v>1.1457999999999999</v>
      </c>
      <c r="G33" s="25">
        <f t="shared" si="3"/>
        <v>1.20282387822144</v>
      </c>
      <c r="H33" s="25">
        <f t="shared" si="4"/>
        <v>-5.7023878221440061E-2</v>
      </c>
      <c r="I33" s="3">
        <v>1.1852</v>
      </c>
      <c r="J33" s="3"/>
      <c r="K33" s="3"/>
      <c r="L33" s="3">
        <v>1.2623</v>
      </c>
      <c r="M33" s="3"/>
      <c r="N33" s="3"/>
      <c r="O33" s="3">
        <v>1.333</v>
      </c>
      <c r="P33" s="3"/>
      <c r="Q33" s="3"/>
      <c r="R33" s="3">
        <v>1.3304</v>
      </c>
      <c r="S33" s="32"/>
      <c r="T33" s="32"/>
      <c r="U33" s="3">
        <v>1.2443</v>
      </c>
      <c r="V33" s="3"/>
      <c r="W33" s="20"/>
    </row>
    <row r="34" spans="1:23" x14ac:dyDescent="0.25">
      <c r="A34" s="21">
        <v>1640</v>
      </c>
      <c r="B34" s="30">
        <f t="shared" si="0"/>
        <v>4.493150684931507</v>
      </c>
      <c r="C34" s="3">
        <v>1.1947000000000001</v>
      </c>
      <c r="D34" s="25">
        <f t="shared" si="1"/>
        <v>1.2356382617009605</v>
      </c>
      <c r="E34" s="25">
        <f t="shared" si="2"/>
        <v>-4.0938261700960377E-2</v>
      </c>
      <c r="F34" s="3">
        <v>1.208</v>
      </c>
      <c r="G34" s="25">
        <f t="shared" si="3"/>
        <v>1.2503687907756682</v>
      </c>
      <c r="H34" s="25">
        <f t="shared" si="4"/>
        <v>-4.2368790775668241E-2</v>
      </c>
      <c r="I34" s="3">
        <v>1.2473000000000001</v>
      </c>
      <c r="J34" s="3"/>
      <c r="K34" s="3"/>
      <c r="L34" s="3">
        <v>1.3250999999999999</v>
      </c>
      <c r="M34" s="3"/>
      <c r="N34" s="3"/>
      <c r="O34" s="3">
        <v>1.3969</v>
      </c>
      <c r="P34" s="3"/>
      <c r="Q34" s="3"/>
      <c r="R34" s="3">
        <v>1.3935999999999999</v>
      </c>
      <c r="S34" s="32"/>
      <c r="T34" s="32"/>
      <c r="U34" s="3">
        <v>1.3064</v>
      </c>
      <c r="V34" s="3"/>
      <c r="W34" s="20"/>
    </row>
    <row r="35" spans="1:23" x14ac:dyDescent="0.25">
      <c r="A35" s="21">
        <v>1730</v>
      </c>
      <c r="B35" s="30">
        <f t="shared" si="0"/>
        <v>4.7397260273972606</v>
      </c>
      <c r="C35" s="3">
        <v>1.2504999999999999</v>
      </c>
      <c r="D35" s="25">
        <f t="shared" si="1"/>
        <v>1.2797514730461594</v>
      </c>
      <c r="E35" s="25">
        <f t="shared" si="2"/>
        <v>-2.9251473046159493E-2</v>
      </c>
      <c r="F35" s="3">
        <v>1.2668999999999999</v>
      </c>
      <c r="G35" s="25">
        <f t="shared" si="3"/>
        <v>1.2965773312956139</v>
      </c>
      <c r="H35" s="25">
        <f t="shared" si="4"/>
        <v>-2.9677331295614007E-2</v>
      </c>
      <c r="I35" s="3">
        <v>1.3069999999999999</v>
      </c>
      <c r="J35" s="3"/>
      <c r="K35" s="3"/>
      <c r="L35" s="3">
        <v>1.3856999999999999</v>
      </c>
      <c r="M35" s="3"/>
      <c r="N35" s="3"/>
      <c r="O35" s="3">
        <v>1.4584999999999999</v>
      </c>
      <c r="P35" s="3"/>
      <c r="Q35" s="3"/>
      <c r="R35" s="3">
        <v>1.4547000000000001</v>
      </c>
      <c r="S35" s="32"/>
      <c r="T35" s="32"/>
      <c r="U35" s="3">
        <v>1.3665</v>
      </c>
      <c r="V35" s="3"/>
      <c r="W35" s="20"/>
    </row>
    <row r="36" spans="1:23" x14ac:dyDescent="0.25">
      <c r="A36" s="21">
        <v>1825</v>
      </c>
      <c r="B36" s="30">
        <f t="shared" si="0"/>
        <v>5</v>
      </c>
      <c r="C36" s="3">
        <v>1.3051999999999999</v>
      </c>
      <c r="D36" s="25">
        <f t="shared" si="1"/>
        <v>1.3250135254922133</v>
      </c>
      <c r="E36" s="25">
        <f t="shared" si="2"/>
        <v>-1.981352549221338E-2</v>
      </c>
      <c r="F36" s="3">
        <v>1.3251999999999999</v>
      </c>
      <c r="G36" s="25">
        <f t="shared" si="3"/>
        <v>1.3439264945038381</v>
      </c>
      <c r="H36" s="25">
        <f t="shared" si="4"/>
        <v>-1.872649450383812E-2</v>
      </c>
      <c r="I36" s="3">
        <v>1.3652</v>
      </c>
      <c r="J36" s="3"/>
      <c r="K36" s="3"/>
      <c r="L36" s="3">
        <v>1.444</v>
      </c>
      <c r="M36" s="3"/>
      <c r="N36" s="3"/>
      <c r="O36" s="3">
        <v>1.5182</v>
      </c>
      <c r="P36" s="3"/>
      <c r="Q36" s="3"/>
      <c r="R36" s="3">
        <v>1.5134000000000001</v>
      </c>
      <c r="S36" s="32"/>
      <c r="T36" s="32"/>
      <c r="U36" s="3">
        <v>1.425</v>
      </c>
      <c r="V36" s="3"/>
      <c r="W36" s="20"/>
    </row>
    <row r="37" spans="1:23" x14ac:dyDescent="0.25">
      <c r="A37" s="21">
        <v>1915</v>
      </c>
      <c r="B37" s="30">
        <f t="shared" si="0"/>
        <v>5.2465753424657535</v>
      </c>
      <c r="C37" s="3">
        <v>1.3586</v>
      </c>
      <c r="D37" s="25">
        <f t="shared" si="1"/>
        <v>1.3666799889496861</v>
      </c>
      <c r="E37" s="25">
        <f t="shared" si="2"/>
        <v>-8.0799889496860899E-3</v>
      </c>
      <c r="F37" s="3">
        <v>1.3804000000000001</v>
      </c>
      <c r="G37" s="25">
        <f t="shared" si="3"/>
        <v>1.3874563643121247</v>
      </c>
      <c r="H37" s="25">
        <f t="shared" si="4"/>
        <v>-7.0563643121246411E-3</v>
      </c>
      <c r="I37" s="3">
        <v>1.4201999999999999</v>
      </c>
      <c r="J37" s="3"/>
      <c r="K37" s="3"/>
      <c r="L37" s="3">
        <v>1.4988999999999999</v>
      </c>
      <c r="M37" s="3"/>
      <c r="N37" s="3"/>
      <c r="O37" s="3">
        <v>1.5743</v>
      </c>
      <c r="P37" s="3"/>
      <c r="Q37" s="3"/>
      <c r="R37" s="3">
        <v>1.5701000000000001</v>
      </c>
      <c r="S37" s="32"/>
      <c r="T37" s="32"/>
      <c r="U37" s="3">
        <v>1.4805999999999999</v>
      </c>
      <c r="V37" s="3"/>
      <c r="W37" s="20"/>
    </row>
    <row r="38" spans="1:23" x14ac:dyDescent="0.25">
      <c r="A38" s="21">
        <v>2005</v>
      </c>
      <c r="B38" s="30">
        <f t="shared" si="0"/>
        <v>5.493150684931507</v>
      </c>
      <c r="C38" s="3">
        <v>1.4085000000000001</v>
      </c>
      <c r="D38" s="25">
        <f t="shared" si="1"/>
        <v>1.4071868518969117</v>
      </c>
      <c r="E38" s="25">
        <f t="shared" si="2"/>
        <v>1.3131481030883574E-3</v>
      </c>
      <c r="F38" s="3">
        <v>1.4325000000000001</v>
      </c>
      <c r="G38" s="25">
        <f t="shared" si="3"/>
        <v>1.4297198623824943</v>
      </c>
      <c r="H38" s="25">
        <f t="shared" si="4"/>
        <v>2.7801376175058401E-3</v>
      </c>
      <c r="I38" s="3">
        <v>1.4718</v>
      </c>
      <c r="J38" s="3"/>
      <c r="K38" s="3"/>
      <c r="L38" s="3">
        <v>1.5505</v>
      </c>
      <c r="M38" s="3"/>
      <c r="N38" s="3"/>
      <c r="O38" s="3">
        <v>1.6274</v>
      </c>
      <c r="P38" s="3"/>
      <c r="Q38" s="3"/>
      <c r="R38" s="3">
        <v>1.6228</v>
      </c>
      <c r="S38" s="32"/>
      <c r="T38" s="32"/>
      <c r="U38" s="3">
        <v>1.5322</v>
      </c>
      <c r="V38" s="3"/>
      <c r="W38" s="20"/>
    </row>
    <row r="39" spans="1:23" x14ac:dyDescent="0.25">
      <c r="A39" s="21">
        <v>2095</v>
      </c>
      <c r="B39" s="30">
        <f t="shared" si="0"/>
        <v>5.7397260273972606</v>
      </c>
      <c r="C39" s="3">
        <v>1.4574</v>
      </c>
      <c r="D39" s="25">
        <f t="shared" si="1"/>
        <v>1.4465557460198093</v>
      </c>
      <c r="E39" s="25">
        <f t="shared" si="2"/>
        <v>1.0844253980190732E-2</v>
      </c>
      <c r="F39" s="3">
        <v>1.4839</v>
      </c>
      <c r="G39" s="25">
        <f t="shared" si="3"/>
        <v>1.4707424630612413</v>
      </c>
      <c r="H39" s="25">
        <f t="shared" si="4"/>
        <v>1.3157536938758652E-2</v>
      </c>
      <c r="I39" s="3">
        <v>1.5227999999999999</v>
      </c>
      <c r="J39" s="3"/>
      <c r="K39" s="3"/>
      <c r="L39" s="3">
        <v>1.6014999999999999</v>
      </c>
      <c r="M39" s="3"/>
      <c r="N39" s="3"/>
      <c r="O39" s="3">
        <v>1.6787000000000001</v>
      </c>
      <c r="P39" s="3"/>
      <c r="Q39" s="3"/>
      <c r="R39" s="3">
        <v>1.6742999999999999</v>
      </c>
      <c r="S39" s="32"/>
      <c r="T39" s="32"/>
      <c r="U39" s="3">
        <v>1.5826</v>
      </c>
      <c r="V39" s="3"/>
      <c r="W39" s="20"/>
    </row>
    <row r="40" spans="1:23" x14ac:dyDescent="0.25">
      <c r="A40" s="21">
        <v>2190</v>
      </c>
      <c r="B40" s="30">
        <f t="shared" si="0"/>
        <v>6</v>
      </c>
      <c r="C40" s="3">
        <v>1.5044999999999999</v>
      </c>
      <c r="D40" s="25">
        <f t="shared" si="1"/>
        <v>1.4869019022986336</v>
      </c>
      <c r="E40" s="25">
        <f t="shared" si="2"/>
        <v>1.7598097701366333E-2</v>
      </c>
      <c r="F40" s="3">
        <v>1.5329999999999999</v>
      </c>
      <c r="G40" s="25">
        <f t="shared" si="3"/>
        <v>1.5127266731852822</v>
      </c>
      <c r="H40" s="25">
        <f t="shared" si="4"/>
        <v>2.0273326814717718E-2</v>
      </c>
      <c r="I40" s="3">
        <v>1.5711999999999999</v>
      </c>
      <c r="J40" s="3"/>
      <c r="K40" s="3"/>
      <c r="L40" s="3">
        <v>1.6503000000000001</v>
      </c>
      <c r="M40" s="3"/>
      <c r="N40" s="3"/>
      <c r="O40" s="3">
        <v>1.7274</v>
      </c>
      <c r="P40" s="3"/>
      <c r="Q40" s="3"/>
      <c r="R40" s="3">
        <v>1.7242</v>
      </c>
      <c r="S40" s="32"/>
      <c r="T40" s="32"/>
      <c r="U40" s="3">
        <v>1.6312</v>
      </c>
      <c r="V40" s="3"/>
      <c r="W40" s="20"/>
    </row>
    <row r="41" spans="1:23" x14ac:dyDescent="0.25">
      <c r="A41" s="21">
        <v>2280</v>
      </c>
      <c r="B41" s="30">
        <f t="shared" si="0"/>
        <v>6.2465753424657535</v>
      </c>
      <c r="C41" s="3">
        <v>1.5488999999999999</v>
      </c>
      <c r="D41" s="25">
        <f t="shared" si="1"/>
        <v>1.5240021608521295</v>
      </c>
      <c r="E41" s="25">
        <f t="shared" si="2"/>
        <v>2.4897839147870471E-2</v>
      </c>
      <c r="F41" s="3">
        <v>1.5790999999999999</v>
      </c>
      <c r="G41" s="25">
        <f t="shared" si="3"/>
        <v>1.5512807247864553</v>
      </c>
      <c r="H41" s="25">
        <f t="shared" si="4"/>
        <v>2.7819275213544659E-2</v>
      </c>
      <c r="I41" s="3">
        <v>1.6167</v>
      </c>
      <c r="J41" s="3"/>
      <c r="K41" s="3"/>
      <c r="L41" s="3">
        <v>1.6963999999999999</v>
      </c>
      <c r="M41" s="3"/>
      <c r="N41" s="3"/>
      <c r="O41" s="3">
        <v>1.7737000000000001</v>
      </c>
      <c r="P41" s="3"/>
      <c r="Q41" s="3"/>
      <c r="R41" s="3">
        <v>1.7716000000000001</v>
      </c>
      <c r="S41" s="32"/>
      <c r="T41" s="32"/>
      <c r="U41" s="3">
        <v>1.6774</v>
      </c>
      <c r="V41" s="3"/>
      <c r="W41" s="20"/>
    </row>
    <row r="42" spans="1:23" x14ac:dyDescent="0.25">
      <c r="A42" s="21">
        <v>2370</v>
      </c>
      <c r="B42" s="30">
        <f t="shared" si="0"/>
        <v>6.493150684931507</v>
      </c>
      <c r="C42" s="3">
        <v>1.5891999999999999</v>
      </c>
      <c r="D42" s="25">
        <f t="shared" si="1"/>
        <v>1.5600337329825702</v>
      </c>
      <c r="E42" s="25">
        <f t="shared" si="2"/>
        <v>2.9166267017429748E-2</v>
      </c>
      <c r="F42" s="3">
        <v>1.6220000000000001</v>
      </c>
      <c r="G42" s="25">
        <f t="shared" si="3"/>
        <v>1.588674306713562</v>
      </c>
      <c r="H42" s="25">
        <f t="shared" si="4"/>
        <v>3.3325693286438085E-2</v>
      </c>
      <c r="I42" s="3">
        <v>1.6591</v>
      </c>
      <c r="J42" s="3"/>
      <c r="K42" s="3"/>
      <c r="L42" s="3">
        <v>1.7396</v>
      </c>
      <c r="M42" s="3"/>
      <c r="N42" s="3"/>
      <c r="O42" s="3">
        <v>1.8168</v>
      </c>
      <c r="P42" s="3"/>
      <c r="Q42" s="3"/>
      <c r="R42" s="3">
        <v>1.8154999999999999</v>
      </c>
      <c r="S42" s="32"/>
      <c r="T42" s="32"/>
      <c r="U42" s="3">
        <v>1.7202</v>
      </c>
      <c r="V42" s="3"/>
      <c r="W42" s="20"/>
    </row>
    <row r="43" spans="1:23" x14ac:dyDescent="0.25">
      <c r="A43" s="21">
        <v>2460</v>
      </c>
      <c r="B43" s="30">
        <f t="shared" si="0"/>
        <v>6.7397260273972606</v>
      </c>
      <c r="C43" s="3">
        <v>1.6294</v>
      </c>
      <c r="D43" s="25">
        <f t="shared" si="1"/>
        <v>1.5950196667955314</v>
      </c>
      <c r="E43" s="25">
        <f t="shared" si="2"/>
        <v>3.4380333204468538E-2</v>
      </c>
      <c r="F43" s="3">
        <v>1.6639999999999999</v>
      </c>
      <c r="G43" s="25">
        <f t="shared" si="3"/>
        <v>1.6249339163357195</v>
      </c>
      <c r="H43" s="25">
        <f t="shared" si="4"/>
        <v>3.9066083664280438E-2</v>
      </c>
      <c r="I43" s="3">
        <v>1.7011000000000001</v>
      </c>
      <c r="J43" s="3"/>
      <c r="K43" s="3"/>
      <c r="L43" s="3">
        <v>1.7822</v>
      </c>
      <c r="M43" s="3"/>
      <c r="N43" s="3"/>
      <c r="O43" s="3">
        <v>1.8593999999999999</v>
      </c>
      <c r="P43" s="3"/>
      <c r="Q43" s="3"/>
      <c r="R43" s="3">
        <v>1.8585</v>
      </c>
      <c r="S43" s="32"/>
      <c r="T43" s="32"/>
      <c r="U43" s="3">
        <v>1.762</v>
      </c>
      <c r="V43" s="3"/>
      <c r="W43" s="20"/>
    </row>
    <row r="44" spans="1:23" x14ac:dyDescent="0.25">
      <c r="A44" s="21">
        <v>2555</v>
      </c>
      <c r="B44" s="30">
        <f t="shared" si="0"/>
        <v>7</v>
      </c>
      <c r="C44" s="3">
        <v>1.6676</v>
      </c>
      <c r="D44" s="25">
        <f t="shared" si="1"/>
        <v>1.6308403027669123</v>
      </c>
      <c r="E44" s="25">
        <f t="shared" si="2"/>
        <v>3.6759697233087696E-2</v>
      </c>
      <c r="F44" s="3">
        <v>1.7038</v>
      </c>
      <c r="G44" s="25">
        <f t="shared" si="3"/>
        <v>1.6620068585554719</v>
      </c>
      <c r="H44" s="25">
        <f t="shared" si="4"/>
        <v>4.1793141444528059E-2</v>
      </c>
      <c r="I44" s="3">
        <v>1.7411000000000001</v>
      </c>
      <c r="J44" s="3"/>
      <c r="K44" s="3"/>
      <c r="L44" s="3">
        <v>1.8222</v>
      </c>
      <c r="M44" s="3"/>
      <c r="N44" s="3"/>
      <c r="O44" s="3">
        <v>1.8996999999999999</v>
      </c>
      <c r="P44" s="3"/>
      <c r="Q44" s="3"/>
      <c r="R44" s="3">
        <v>1.8998999999999999</v>
      </c>
      <c r="S44" s="32"/>
      <c r="T44" s="32"/>
      <c r="U44" s="3">
        <v>1.8023</v>
      </c>
      <c r="V44" s="3"/>
      <c r="W44" s="20"/>
    </row>
    <row r="45" spans="1:23" x14ac:dyDescent="0.25">
      <c r="A45" s="21">
        <v>2645</v>
      </c>
      <c r="B45" s="30">
        <f t="shared" si="0"/>
        <v>7.2465753424657535</v>
      </c>
      <c r="C45" s="3">
        <v>1.7037</v>
      </c>
      <c r="D45" s="25">
        <f t="shared" si="1"/>
        <v>1.6637490072582695</v>
      </c>
      <c r="E45" s="25">
        <f t="shared" si="2"/>
        <v>3.9950992741730529E-2</v>
      </c>
      <c r="F45" s="3">
        <v>1.7406999999999999</v>
      </c>
      <c r="G45" s="25">
        <f t="shared" si="3"/>
        <v>1.6960180831461236</v>
      </c>
      <c r="H45" s="25">
        <f t="shared" si="4"/>
        <v>4.4681916853876347E-2</v>
      </c>
      <c r="I45" s="3">
        <v>1.7801</v>
      </c>
      <c r="J45" s="3"/>
      <c r="K45" s="3"/>
      <c r="L45" s="3">
        <v>1.8612</v>
      </c>
      <c r="M45" s="3"/>
      <c r="N45" s="3"/>
      <c r="O45" s="3">
        <v>1.9391</v>
      </c>
      <c r="P45" s="3"/>
      <c r="Q45" s="3"/>
      <c r="R45" s="3">
        <v>1.9393</v>
      </c>
      <c r="S45" s="32"/>
      <c r="T45" s="32"/>
      <c r="U45" s="3">
        <v>1.8404</v>
      </c>
      <c r="V45" s="3"/>
      <c r="W45" s="20"/>
    </row>
    <row r="46" spans="1:23" x14ac:dyDescent="0.25">
      <c r="A46" s="21">
        <v>2735</v>
      </c>
      <c r="B46" s="30">
        <f t="shared" si="0"/>
        <v>7.493150684931507</v>
      </c>
      <c r="C46" s="3">
        <v>1.7366999999999999</v>
      </c>
      <c r="D46" s="25">
        <f t="shared" si="1"/>
        <v>1.6956819404271342</v>
      </c>
      <c r="E46" s="25">
        <f t="shared" si="2"/>
        <v>4.101805957286575E-2</v>
      </c>
      <c r="F46" s="3">
        <v>1.7748999999999999</v>
      </c>
      <c r="G46" s="25">
        <f t="shared" si="3"/>
        <v>1.7289751430583187</v>
      </c>
      <c r="H46" s="25">
        <f t="shared" si="4"/>
        <v>4.5924856941681247E-2</v>
      </c>
      <c r="I46" s="3">
        <v>1.8145</v>
      </c>
      <c r="J46" s="3"/>
      <c r="K46" s="3"/>
      <c r="L46" s="3">
        <v>1.8955</v>
      </c>
      <c r="M46" s="3"/>
      <c r="N46" s="3"/>
      <c r="O46" s="3">
        <v>1.974</v>
      </c>
      <c r="P46" s="3"/>
      <c r="Q46" s="3"/>
      <c r="R46" s="3">
        <v>1.9756</v>
      </c>
      <c r="S46" s="32"/>
      <c r="T46" s="32"/>
      <c r="U46" s="3">
        <v>1.8755999999999999</v>
      </c>
      <c r="V46" s="3"/>
      <c r="W46" s="20"/>
    </row>
    <row r="47" spans="1:23" x14ac:dyDescent="0.25">
      <c r="A47" s="21">
        <v>2825</v>
      </c>
      <c r="B47" s="30">
        <f t="shared" si="0"/>
        <v>7.7397260273972606</v>
      </c>
      <c r="C47" s="3">
        <v>1.7697000000000001</v>
      </c>
      <c r="D47" s="25">
        <f t="shared" si="1"/>
        <v>1.7266615543528867</v>
      </c>
      <c r="E47" s="25">
        <f t="shared" si="2"/>
        <v>4.3038445647113344E-2</v>
      </c>
      <c r="F47" s="3">
        <v>1.8086</v>
      </c>
      <c r="G47" s="25">
        <f t="shared" si="3"/>
        <v>1.7609035523451009</v>
      </c>
      <c r="H47" s="25">
        <f t="shared" si="4"/>
        <v>4.769644765489911E-2</v>
      </c>
      <c r="I47" s="3">
        <v>1.8488</v>
      </c>
      <c r="J47" s="3"/>
      <c r="K47" s="3"/>
      <c r="L47" s="3">
        <v>1.9298</v>
      </c>
      <c r="M47" s="3"/>
      <c r="N47" s="3"/>
      <c r="O47" s="3">
        <v>2.0089999999999999</v>
      </c>
      <c r="P47" s="3"/>
      <c r="Q47" s="3"/>
      <c r="R47" s="3">
        <v>2.0110999999999999</v>
      </c>
      <c r="S47" s="32"/>
      <c r="T47" s="32"/>
      <c r="U47" s="3">
        <v>1.9098999999999999</v>
      </c>
      <c r="V47" s="3"/>
      <c r="W47" s="20"/>
    </row>
    <row r="48" spans="1:23" x14ac:dyDescent="0.25">
      <c r="A48" s="21">
        <v>2920</v>
      </c>
      <c r="B48" s="30">
        <f t="shared" si="0"/>
        <v>8</v>
      </c>
      <c r="C48" s="3">
        <v>1.8010999999999999</v>
      </c>
      <c r="D48" s="25">
        <f t="shared" si="1"/>
        <v>1.7583525180322583</v>
      </c>
      <c r="E48" s="25">
        <f t="shared" si="2"/>
        <v>4.2747481967741585E-2</v>
      </c>
      <c r="F48" s="3">
        <v>1.8407</v>
      </c>
      <c r="G48" s="25">
        <f t="shared" si="3"/>
        <v>1.7935175778100827</v>
      </c>
      <c r="H48" s="25">
        <f t="shared" si="4"/>
        <v>4.7182422189917306E-2</v>
      </c>
      <c r="I48" s="3">
        <v>1.8822000000000001</v>
      </c>
      <c r="J48" s="3"/>
      <c r="K48" s="3"/>
      <c r="L48" s="3">
        <v>1.9636</v>
      </c>
      <c r="M48" s="3"/>
      <c r="N48" s="3"/>
      <c r="O48" s="3">
        <v>2.0436000000000001</v>
      </c>
      <c r="P48" s="3"/>
      <c r="Q48" s="3"/>
      <c r="R48" s="3">
        <v>2.0451999999999999</v>
      </c>
      <c r="S48" s="32"/>
      <c r="T48" s="32"/>
      <c r="U48" s="3">
        <v>1.9428000000000001</v>
      </c>
      <c r="V48" s="3"/>
      <c r="W48" s="20"/>
    </row>
    <row r="49" spans="1:23" x14ac:dyDescent="0.25">
      <c r="A49" s="21">
        <v>3100</v>
      </c>
      <c r="B49" s="30">
        <f t="shared" si="0"/>
        <v>8.493150684931507</v>
      </c>
      <c r="C49" s="3">
        <v>1.8591</v>
      </c>
      <c r="D49" s="25">
        <f t="shared" si="1"/>
        <v>1.8156445348171908</v>
      </c>
      <c r="E49" s="25">
        <f t="shared" si="2"/>
        <v>4.3455465182809183E-2</v>
      </c>
      <c r="F49" s="3">
        <v>1.9001999999999999</v>
      </c>
      <c r="G49" s="25">
        <f t="shared" si="3"/>
        <v>1.8523494137106602</v>
      </c>
      <c r="H49" s="25">
        <f t="shared" si="4"/>
        <v>4.7850586289339692E-2</v>
      </c>
      <c r="I49" s="3">
        <v>1.9415</v>
      </c>
      <c r="J49" s="3"/>
      <c r="K49" s="3"/>
      <c r="L49" s="3">
        <v>2.0251000000000001</v>
      </c>
      <c r="M49" s="3"/>
      <c r="N49" s="3"/>
      <c r="O49" s="3">
        <v>2.1065</v>
      </c>
      <c r="P49" s="3"/>
      <c r="Q49" s="3"/>
      <c r="R49" s="3">
        <v>2.1082000000000001</v>
      </c>
      <c r="S49" s="32"/>
      <c r="T49" s="32"/>
      <c r="U49" s="3">
        <v>2.0045000000000002</v>
      </c>
      <c r="V49" s="3"/>
      <c r="W49" s="20"/>
    </row>
    <row r="50" spans="1:23" x14ac:dyDescent="0.25">
      <c r="A50" s="21">
        <v>3285</v>
      </c>
      <c r="B50" s="30">
        <f t="shared" si="0"/>
        <v>9</v>
      </c>
      <c r="C50" s="3">
        <v>1.9142999999999999</v>
      </c>
      <c r="D50" s="25">
        <f t="shared" si="1"/>
        <v>1.8709219625357918</v>
      </c>
      <c r="E50" s="25">
        <f t="shared" si="2"/>
        <v>4.3378037464208097E-2</v>
      </c>
      <c r="F50" s="3">
        <v>1.9559</v>
      </c>
      <c r="G50" s="25">
        <f t="shared" si="3"/>
        <v>1.9089434835709429</v>
      </c>
      <c r="H50" s="25">
        <f t="shared" si="4"/>
        <v>4.6956516429057071E-2</v>
      </c>
      <c r="I50" s="3">
        <v>1.9965999999999999</v>
      </c>
      <c r="J50" s="3"/>
      <c r="K50" s="3"/>
      <c r="L50" s="3">
        <v>2.0831</v>
      </c>
      <c r="M50" s="3"/>
      <c r="N50" s="3"/>
      <c r="O50" s="3">
        <v>2.1646999999999998</v>
      </c>
      <c r="P50" s="3"/>
      <c r="Q50" s="3"/>
      <c r="R50" s="3">
        <v>2.1669999999999998</v>
      </c>
      <c r="S50" s="32"/>
      <c r="T50" s="32"/>
      <c r="U50" s="3">
        <v>2.0606</v>
      </c>
      <c r="V50" s="3"/>
      <c r="W50" s="20"/>
    </row>
    <row r="51" spans="1:23" x14ac:dyDescent="0.25">
      <c r="A51" s="21">
        <v>3465</v>
      </c>
      <c r="B51" s="30">
        <f t="shared" si="0"/>
        <v>9.493150684931507</v>
      </c>
      <c r="C51" s="3">
        <v>1.9645999999999999</v>
      </c>
      <c r="D51" s="25">
        <f t="shared" si="1"/>
        <v>1.9213653921358029</v>
      </c>
      <c r="E51" s="25">
        <f t="shared" si="2"/>
        <v>4.3234607864196972E-2</v>
      </c>
      <c r="F51" s="3">
        <v>2.0066000000000002</v>
      </c>
      <c r="G51" s="25">
        <f t="shared" si="3"/>
        <v>1.9604303012859723</v>
      </c>
      <c r="H51" s="25">
        <f t="shared" si="4"/>
        <v>4.6169698714027874E-2</v>
      </c>
      <c r="I51" s="3">
        <v>2.0493000000000001</v>
      </c>
      <c r="J51" s="3"/>
      <c r="K51" s="3"/>
      <c r="L51" s="3">
        <v>2.1371000000000002</v>
      </c>
      <c r="M51" s="3"/>
      <c r="N51" s="3"/>
      <c r="O51" s="3">
        <v>2.2181999999999999</v>
      </c>
      <c r="P51" s="3"/>
      <c r="Q51" s="3"/>
      <c r="R51" s="3">
        <v>2.2212999999999998</v>
      </c>
      <c r="S51" s="32"/>
      <c r="T51" s="32"/>
      <c r="U51" s="3">
        <v>2.1135000000000002</v>
      </c>
      <c r="V51" s="3"/>
      <c r="W51" s="20"/>
    </row>
    <row r="52" spans="1:23" x14ac:dyDescent="0.25">
      <c r="A52" s="21">
        <v>3650</v>
      </c>
      <c r="B52" s="30">
        <f t="shared" si="0"/>
        <v>10</v>
      </c>
      <c r="C52" s="3">
        <v>2.0152999999999999</v>
      </c>
      <c r="D52" s="25">
        <f t="shared" si="1"/>
        <v>1.9699455486234712</v>
      </c>
      <c r="E52" s="25">
        <f t="shared" si="2"/>
        <v>4.5354451376528715E-2</v>
      </c>
      <c r="F52" s="3">
        <v>2.0558000000000001</v>
      </c>
      <c r="G52" s="25">
        <f t="shared" si="3"/>
        <v>2.0098590691798091</v>
      </c>
      <c r="H52" s="25">
        <f t="shared" si="4"/>
        <v>4.5940930820191017E-2</v>
      </c>
      <c r="I52" s="3">
        <v>2.1002999999999998</v>
      </c>
      <c r="J52" s="3"/>
      <c r="K52" s="3"/>
      <c r="L52" s="3">
        <v>2.1892999999999998</v>
      </c>
      <c r="M52" s="3"/>
      <c r="N52" s="3"/>
      <c r="O52" s="3">
        <v>2.27</v>
      </c>
      <c r="P52" s="3"/>
      <c r="Q52" s="3"/>
      <c r="R52" s="3">
        <v>2.2730999999999999</v>
      </c>
      <c r="S52" s="32"/>
      <c r="T52" s="32"/>
      <c r="U52" s="3">
        <v>2.1642000000000001</v>
      </c>
      <c r="V52" s="3"/>
      <c r="W52" s="20"/>
    </row>
    <row r="53" spans="1:23" x14ac:dyDescent="0.25">
      <c r="A53" s="21">
        <v>4380</v>
      </c>
      <c r="B53" s="30">
        <f t="shared" si="0"/>
        <v>12</v>
      </c>
      <c r="C53" s="3">
        <v>2.1991999999999998</v>
      </c>
      <c r="D53" s="25">
        <f t="shared" si="1"/>
        <v>2.1324354893448869</v>
      </c>
      <c r="E53" s="25">
        <f t="shared" si="2"/>
        <v>6.6764510655112908E-2</v>
      </c>
      <c r="F53" s="3">
        <v>2.2376999999999998</v>
      </c>
      <c r="G53" s="25">
        <f t="shared" si="3"/>
        <v>2.1738447998364774</v>
      </c>
      <c r="H53" s="25">
        <f t="shared" si="4"/>
        <v>6.3855200163522419E-2</v>
      </c>
      <c r="I53" s="3">
        <v>2.2837000000000001</v>
      </c>
      <c r="J53" s="3"/>
      <c r="K53" s="3"/>
      <c r="L53" s="3">
        <v>2.3744000000000001</v>
      </c>
      <c r="M53" s="3"/>
      <c r="N53" s="3"/>
      <c r="O53" s="3">
        <v>2.4636</v>
      </c>
      <c r="P53" s="3"/>
      <c r="Q53" s="3"/>
      <c r="R53" s="3">
        <v>2.4678</v>
      </c>
      <c r="S53" s="32"/>
      <c r="T53" s="32"/>
      <c r="U53" s="3">
        <v>2.3538999999999999</v>
      </c>
      <c r="V53" s="3"/>
      <c r="W53" s="20"/>
    </row>
    <row r="54" spans="1:23" x14ac:dyDescent="0.25">
      <c r="A54" s="21">
        <v>5475</v>
      </c>
      <c r="B54" s="30">
        <f t="shared" si="0"/>
        <v>15</v>
      </c>
      <c r="C54" s="3">
        <v>2.3927</v>
      </c>
      <c r="D54" s="25">
        <f t="shared" si="1"/>
        <v>2.3037068902318198</v>
      </c>
      <c r="E54" s="25">
        <f t="shared" si="2"/>
        <v>8.8993109768180201E-2</v>
      </c>
      <c r="F54" s="3">
        <v>2.4251999999999998</v>
      </c>
      <c r="G54" s="25">
        <f t="shared" si="3"/>
        <v>2.3434445263645953</v>
      </c>
      <c r="H54" s="25">
        <f t="shared" si="4"/>
        <v>8.1755473635404474E-2</v>
      </c>
      <c r="I54" s="3">
        <v>2.4626000000000001</v>
      </c>
      <c r="J54" s="3"/>
      <c r="K54" s="3"/>
      <c r="L54" s="3">
        <v>2.5573999999999999</v>
      </c>
      <c r="M54" s="3"/>
      <c r="N54" s="3"/>
      <c r="O54" s="3">
        <v>2.6534</v>
      </c>
      <c r="P54" s="3"/>
      <c r="Q54" s="3"/>
      <c r="R54" s="3">
        <v>2.6602000000000001</v>
      </c>
      <c r="S54" s="32"/>
      <c r="T54" s="32"/>
      <c r="U54" s="3">
        <v>2.5419999999999998</v>
      </c>
      <c r="V54" s="3"/>
      <c r="W54" s="20"/>
    </row>
    <row r="55" spans="1:23" x14ac:dyDescent="0.25">
      <c r="A55" s="21">
        <v>7300</v>
      </c>
      <c r="B55" s="30">
        <f t="shared" si="0"/>
        <v>20</v>
      </c>
      <c r="C55" s="3">
        <v>2.4628000000000001</v>
      </c>
      <c r="D55" s="25">
        <f t="shared" si="1"/>
        <v>2.4530992892147054</v>
      </c>
      <c r="E55" s="25">
        <f t="shared" si="2"/>
        <v>9.7007107852946639E-3</v>
      </c>
      <c r="F55" s="3">
        <v>2.4788000000000001</v>
      </c>
      <c r="G55" s="25">
        <f t="shared" si="3"/>
        <v>2.4851585080910659</v>
      </c>
      <c r="H55" s="25">
        <f t="shared" si="4"/>
        <v>-6.358508091065751E-3</v>
      </c>
      <c r="I55" s="3">
        <v>2.5164</v>
      </c>
      <c r="J55" s="3"/>
      <c r="K55" s="3"/>
      <c r="L55" s="3">
        <v>2.6236000000000002</v>
      </c>
      <c r="M55" s="3"/>
      <c r="N55" s="3"/>
      <c r="O55" s="3">
        <v>2.7240000000000002</v>
      </c>
      <c r="P55" s="3"/>
      <c r="Q55" s="3"/>
      <c r="R55" s="3">
        <v>2.7330000000000001</v>
      </c>
      <c r="S55" s="32"/>
      <c r="T55" s="32"/>
      <c r="U55" s="3">
        <v>2.6156000000000001</v>
      </c>
      <c r="V55" s="3"/>
      <c r="W55" s="20"/>
    </row>
    <row r="56" spans="1:23" x14ac:dyDescent="0.25">
      <c r="A56" s="21">
        <v>9125</v>
      </c>
      <c r="B56" s="30">
        <f t="shared" si="0"/>
        <v>25</v>
      </c>
      <c r="C56" s="3">
        <v>2.4241000000000001</v>
      </c>
      <c r="D56" s="25">
        <f t="shared" si="1"/>
        <v>2.4980217387881924</v>
      </c>
      <c r="E56" s="25">
        <f t="shared" si="2"/>
        <v>-7.3921738788192304E-2</v>
      </c>
      <c r="F56" s="3">
        <v>2.4419</v>
      </c>
      <c r="G56" s="25">
        <f t="shared" si="3"/>
        <v>2.5215306842071143</v>
      </c>
      <c r="H56" s="25">
        <f t="shared" si="4"/>
        <v>-7.9630684207114388E-2</v>
      </c>
      <c r="I56" s="3">
        <v>2.4725000000000001</v>
      </c>
      <c r="J56" s="3"/>
      <c r="K56" s="3"/>
      <c r="L56" s="3">
        <v>2.5819999999999999</v>
      </c>
      <c r="M56" s="3"/>
      <c r="N56" s="3"/>
      <c r="O56" s="3">
        <v>2.6753</v>
      </c>
      <c r="P56" s="3"/>
      <c r="Q56" s="3"/>
      <c r="R56" s="3">
        <v>2.6798999999999999</v>
      </c>
      <c r="S56" s="32"/>
      <c r="T56" s="32"/>
      <c r="U56" s="3">
        <v>2.5558000000000001</v>
      </c>
      <c r="V56" s="3"/>
      <c r="W56" s="20"/>
    </row>
    <row r="57" spans="1:23" x14ac:dyDescent="0.25">
      <c r="A57" s="21">
        <v>10950</v>
      </c>
      <c r="B57" s="30">
        <f t="shared" si="0"/>
        <v>30</v>
      </c>
      <c r="C57" s="3">
        <v>2.3637000000000001</v>
      </c>
      <c r="D57" s="25">
        <f t="shared" si="1"/>
        <v>2.4874207054669331</v>
      </c>
      <c r="E57" s="25">
        <f t="shared" si="2"/>
        <v>-0.12372070546693292</v>
      </c>
      <c r="F57" s="3">
        <v>2.3873000000000002</v>
      </c>
      <c r="G57" s="25">
        <f t="shared" si="3"/>
        <v>2.5043668244033035</v>
      </c>
      <c r="H57" s="25">
        <f t="shared" si="4"/>
        <v>-0.11706682440330329</v>
      </c>
      <c r="I57" s="3">
        <v>2.4207000000000001</v>
      </c>
      <c r="J57" s="3"/>
      <c r="K57" s="3"/>
      <c r="L57" s="3">
        <v>2.5314000000000001</v>
      </c>
      <c r="M57" s="3"/>
      <c r="N57" s="3"/>
      <c r="O57" s="3">
        <v>2.6193</v>
      </c>
      <c r="P57" s="3"/>
      <c r="Q57" s="3"/>
      <c r="R57" s="3">
        <v>2.6181999999999999</v>
      </c>
      <c r="S57" s="32"/>
      <c r="T57" s="32"/>
      <c r="U57" s="3">
        <v>2.4904999999999999</v>
      </c>
      <c r="V57" s="3"/>
      <c r="W57" s="20"/>
    </row>
    <row r="58" spans="1:23" x14ac:dyDescent="0.25">
      <c r="A58" s="21">
        <v>14600</v>
      </c>
      <c r="B58" s="30">
        <f t="shared" si="0"/>
        <v>40</v>
      </c>
      <c r="C58" s="3">
        <v>2.3513999999999999</v>
      </c>
      <c r="D58" s="25">
        <f t="shared" si="1"/>
        <v>2.4050067119381611</v>
      </c>
      <c r="E58" s="25">
        <f t="shared" si="2"/>
        <v>-5.3606711938161133E-2</v>
      </c>
      <c r="F58" s="3">
        <v>2.3672</v>
      </c>
      <c r="G58" s="25">
        <f t="shared" si="3"/>
        <v>2.417622896956491</v>
      </c>
      <c r="H58" s="25">
        <f t="shared" si="4"/>
        <v>-5.0422896956491048E-2</v>
      </c>
      <c r="I58" s="3">
        <v>2.4079999999999999</v>
      </c>
      <c r="J58" s="3"/>
      <c r="K58" s="3"/>
      <c r="L58" s="3">
        <v>2.5219999999999998</v>
      </c>
      <c r="M58" s="3"/>
      <c r="N58" s="3"/>
      <c r="O58" s="3">
        <v>2.6162999999999998</v>
      </c>
      <c r="P58" s="3"/>
      <c r="Q58" s="3"/>
      <c r="R58" s="3">
        <v>2.6110000000000002</v>
      </c>
      <c r="S58" s="32"/>
      <c r="T58" s="32"/>
      <c r="U58" s="3">
        <v>2.4864000000000002</v>
      </c>
      <c r="V58" s="3"/>
      <c r="W58" s="20"/>
    </row>
    <row r="59" spans="1:23" ht="15.75" thickBot="1" x14ac:dyDescent="0.3">
      <c r="A59" s="22">
        <v>18250</v>
      </c>
      <c r="B59" s="40">
        <f t="shared" si="0"/>
        <v>50</v>
      </c>
      <c r="C59" s="23">
        <v>2.4091999999999998</v>
      </c>
      <c r="D59" s="25">
        <f t="shared" si="1"/>
        <v>2.32098253144318</v>
      </c>
      <c r="E59" s="25">
        <f t="shared" si="2"/>
        <v>8.8217468556819778E-2</v>
      </c>
      <c r="F59" s="23">
        <v>2.4278</v>
      </c>
      <c r="G59" s="25">
        <f t="shared" si="3"/>
        <v>2.3395356497479813</v>
      </c>
      <c r="H59" s="25">
        <f t="shared" si="4"/>
        <v>8.826435025201862E-2</v>
      </c>
      <c r="I59" s="23">
        <v>2.4632999999999998</v>
      </c>
      <c r="J59" s="23"/>
      <c r="K59" s="23"/>
      <c r="L59" s="23">
        <v>2.5743</v>
      </c>
      <c r="M59" s="23"/>
      <c r="N59" s="23"/>
      <c r="O59" s="23">
        <v>2.6732</v>
      </c>
      <c r="P59" s="23"/>
      <c r="Q59" s="23"/>
      <c r="R59" s="23">
        <v>2.6646000000000001</v>
      </c>
      <c r="S59" s="33"/>
      <c r="T59" s="33"/>
      <c r="U59" s="23">
        <v>2.5442999999999998</v>
      </c>
      <c r="V59" s="23"/>
      <c r="W59" s="24"/>
    </row>
  </sheetData>
  <mergeCells count="7">
    <mergeCell ref="U13:W13"/>
    <mergeCell ref="C13:E13"/>
    <mergeCell ref="F13:H13"/>
    <mergeCell ref="I13:K13"/>
    <mergeCell ref="L13:N13"/>
    <mergeCell ref="O13:Q13"/>
    <mergeCell ref="R13:T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NSS</vt:lpstr>
      <vt:lpstr>OIS Curve_NSS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2026-01-11T11:14:27Z</dcterms:created>
  <dcterms:modified xsi:type="dcterms:W3CDTF">2026-01-11T17:06:21Z</dcterms:modified>
</cp:coreProperties>
</file>